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4eb81e5568d69b9b/Documents/"/>
    </mc:Choice>
  </mc:AlternateContent>
  <xr:revisionPtr revIDLastSave="0" documentId="8_{FBF254F0-BB34-4D14-AF9F-0039D535D363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Dashboard" sheetId="4" r:id="rId1"/>
    <sheet name="Historique GW" sheetId="2" r:id="rId2"/>
    <sheet name="Calcul EV" sheetId="3" r:id="rId3"/>
    <sheet name="Config Rewards" sheetId="1" r:id="rId4"/>
    <sheet name="Mon Edg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D6" i="3"/>
  <c r="I32" i="4"/>
  <c r="H32" i="4"/>
  <c r="G32" i="4"/>
  <c r="F32" i="4"/>
  <c r="E32" i="4"/>
  <c r="D32" i="4"/>
  <c r="C32" i="4"/>
  <c r="B32" i="4"/>
  <c r="A32" i="4"/>
  <c r="I31" i="4"/>
  <c r="H31" i="4"/>
  <c r="G31" i="4"/>
  <c r="F31" i="4"/>
  <c r="E31" i="4"/>
  <c r="D31" i="4"/>
  <c r="C31" i="4"/>
  <c r="B31" i="4"/>
  <c r="A31" i="4"/>
  <c r="I30" i="4"/>
  <c r="H30" i="4"/>
  <c r="G30" i="4"/>
  <c r="F30" i="4"/>
  <c r="E30" i="4"/>
  <c r="D30" i="4"/>
  <c r="C30" i="4"/>
  <c r="B30" i="4"/>
  <c r="A30" i="4"/>
  <c r="I29" i="4"/>
  <c r="H29" i="4"/>
  <c r="G29" i="4"/>
  <c r="F29" i="4"/>
  <c r="E29" i="4"/>
  <c r="D29" i="4"/>
  <c r="C29" i="4"/>
  <c r="B29" i="4"/>
  <c r="A29" i="4"/>
  <c r="I28" i="4"/>
  <c r="H28" i="4"/>
  <c r="G28" i="4"/>
  <c r="F28" i="4"/>
  <c r="E28" i="4"/>
  <c r="D28" i="4"/>
  <c r="C28" i="4"/>
  <c r="B28" i="4"/>
  <c r="A28" i="4"/>
  <c r="I27" i="4"/>
  <c r="H27" i="4"/>
  <c r="G27" i="4"/>
  <c r="F27" i="4"/>
  <c r="E27" i="4"/>
  <c r="D27" i="4"/>
  <c r="C27" i="4"/>
  <c r="B27" i="4"/>
  <c r="A27" i="4"/>
  <c r="I26" i="4"/>
  <c r="H26" i="4"/>
  <c r="G26" i="4"/>
  <c r="F26" i="4"/>
  <c r="E26" i="4"/>
  <c r="D26" i="4"/>
  <c r="C26" i="4"/>
  <c r="B26" i="4"/>
  <c r="A26" i="4"/>
  <c r="I25" i="4"/>
  <c r="H25" i="4"/>
  <c r="G25" i="4"/>
  <c r="F25" i="4"/>
  <c r="E25" i="4"/>
  <c r="D25" i="4"/>
  <c r="C25" i="4"/>
  <c r="B25" i="4"/>
  <c r="A25" i="4"/>
  <c r="I24" i="4"/>
  <c r="H24" i="4"/>
  <c r="G24" i="4"/>
  <c r="F24" i="4"/>
  <c r="E24" i="4"/>
  <c r="D24" i="4"/>
  <c r="C24" i="4"/>
  <c r="B24" i="4"/>
  <c r="A24" i="4"/>
  <c r="I23" i="4"/>
  <c r="H23" i="4"/>
  <c r="G23" i="4"/>
  <c r="F23" i="4"/>
  <c r="E23" i="4"/>
  <c r="D23" i="4"/>
  <c r="C23" i="4"/>
  <c r="B23" i="4"/>
  <c r="A23" i="4"/>
  <c r="I22" i="4"/>
  <c r="H22" i="4"/>
  <c r="G22" i="4"/>
  <c r="F22" i="4"/>
  <c r="E22" i="4"/>
  <c r="D22" i="4"/>
  <c r="C22" i="4"/>
  <c r="B22" i="4"/>
  <c r="A22" i="4"/>
  <c r="I21" i="4"/>
  <c r="H21" i="4"/>
  <c r="G21" i="4"/>
  <c r="F21" i="4"/>
  <c r="E21" i="4"/>
  <c r="D21" i="4"/>
  <c r="C21" i="4"/>
  <c r="B21" i="4"/>
  <c r="A21" i="4"/>
  <c r="I20" i="4"/>
  <c r="H20" i="4"/>
  <c r="G20" i="4"/>
  <c r="F20" i="4"/>
  <c r="E20" i="4"/>
  <c r="D20" i="4"/>
  <c r="C20" i="4"/>
  <c r="B20" i="4"/>
  <c r="A20" i="4"/>
  <c r="I19" i="4"/>
  <c r="H19" i="4"/>
  <c r="G19" i="4"/>
  <c r="F19" i="4"/>
  <c r="E19" i="4"/>
  <c r="D19" i="4"/>
  <c r="C19" i="4"/>
  <c r="B19" i="4"/>
  <c r="A19" i="4"/>
  <c r="I18" i="4"/>
  <c r="H18" i="4"/>
  <c r="G18" i="4"/>
  <c r="F18" i="4"/>
  <c r="E18" i="4"/>
  <c r="D18" i="4"/>
  <c r="C18" i="4"/>
  <c r="B18" i="4"/>
  <c r="A18" i="4"/>
  <c r="B13" i="4"/>
  <c r="B12" i="4"/>
  <c r="B11" i="4"/>
  <c r="B10" i="4"/>
  <c r="B9" i="4"/>
  <c r="B8" i="4"/>
  <c r="B7" i="4"/>
  <c r="B6" i="4"/>
  <c r="G35" i="3"/>
  <c r="F35" i="3"/>
  <c r="E35" i="3"/>
  <c r="D35" i="3"/>
  <c r="C35" i="3"/>
  <c r="B35" i="3"/>
  <c r="H35" i="3" s="1"/>
  <c r="A35" i="3"/>
  <c r="G34" i="3"/>
  <c r="F34" i="3"/>
  <c r="E34" i="3"/>
  <c r="D34" i="3"/>
  <c r="C34" i="3"/>
  <c r="B34" i="3"/>
  <c r="H34" i="3" s="1"/>
  <c r="A34" i="3"/>
  <c r="G33" i="3"/>
  <c r="F33" i="3"/>
  <c r="E33" i="3"/>
  <c r="D33" i="3"/>
  <c r="C33" i="3"/>
  <c r="B33" i="3"/>
  <c r="H33" i="3" s="1"/>
  <c r="A33" i="3"/>
  <c r="G32" i="3"/>
  <c r="F32" i="3"/>
  <c r="E32" i="3"/>
  <c r="D32" i="3"/>
  <c r="C32" i="3"/>
  <c r="B32" i="3"/>
  <c r="H32" i="3" s="1"/>
  <c r="A32" i="3"/>
  <c r="G31" i="3"/>
  <c r="F31" i="3"/>
  <c r="E31" i="3"/>
  <c r="D31" i="3"/>
  <c r="C31" i="3"/>
  <c r="B31" i="3"/>
  <c r="H31" i="3" s="1"/>
  <c r="A31" i="3"/>
  <c r="G30" i="3"/>
  <c r="F30" i="3"/>
  <c r="E30" i="3"/>
  <c r="D30" i="3"/>
  <c r="C30" i="3"/>
  <c r="B30" i="3"/>
  <c r="H30" i="3" s="1"/>
  <c r="A30" i="3"/>
  <c r="G29" i="3"/>
  <c r="F29" i="3"/>
  <c r="E29" i="3"/>
  <c r="D29" i="3"/>
  <c r="C29" i="3"/>
  <c r="B29" i="3"/>
  <c r="H29" i="3" s="1"/>
  <c r="A29" i="3"/>
  <c r="G28" i="3"/>
  <c r="F28" i="3"/>
  <c r="E28" i="3"/>
  <c r="D28" i="3"/>
  <c r="C28" i="3"/>
  <c r="B28" i="3"/>
  <c r="H28" i="3" s="1"/>
  <c r="A28" i="3"/>
  <c r="G27" i="3"/>
  <c r="F27" i="3"/>
  <c r="E27" i="3"/>
  <c r="D27" i="3"/>
  <c r="C27" i="3"/>
  <c r="B27" i="3"/>
  <c r="H27" i="3" s="1"/>
  <c r="A27" i="3"/>
  <c r="G26" i="3"/>
  <c r="F26" i="3"/>
  <c r="E26" i="3"/>
  <c r="D26" i="3"/>
  <c r="C26" i="3"/>
  <c r="B26" i="3"/>
  <c r="H26" i="3" s="1"/>
  <c r="A26" i="3"/>
  <c r="G25" i="3"/>
  <c r="F25" i="3"/>
  <c r="E25" i="3"/>
  <c r="D25" i="3"/>
  <c r="C25" i="3"/>
  <c r="B25" i="3"/>
  <c r="H25" i="3" s="1"/>
  <c r="A25" i="3"/>
  <c r="G24" i="3"/>
  <c r="F24" i="3"/>
  <c r="E24" i="3"/>
  <c r="D24" i="3"/>
  <c r="C24" i="3"/>
  <c r="B24" i="3"/>
  <c r="H24" i="3" s="1"/>
  <c r="A24" i="3"/>
  <c r="G23" i="3"/>
  <c r="F23" i="3"/>
  <c r="E23" i="3"/>
  <c r="D23" i="3"/>
  <c r="C23" i="3"/>
  <c r="B23" i="3"/>
  <c r="H23" i="3" s="1"/>
  <c r="A23" i="3"/>
  <c r="G22" i="3"/>
  <c r="F22" i="3"/>
  <c r="E22" i="3"/>
  <c r="D22" i="3"/>
  <c r="C22" i="3"/>
  <c r="B22" i="3"/>
  <c r="H22" i="3" s="1"/>
  <c r="A22" i="3"/>
  <c r="G21" i="3"/>
  <c r="F21" i="3"/>
  <c r="E21" i="3"/>
  <c r="D21" i="3"/>
  <c r="C21" i="3"/>
  <c r="B21" i="3"/>
  <c r="H21" i="3" s="1"/>
  <c r="A21" i="3"/>
  <c r="G20" i="3"/>
  <c r="F20" i="3"/>
  <c r="E20" i="3"/>
  <c r="D20" i="3"/>
  <c r="C20" i="3"/>
  <c r="B20" i="3"/>
  <c r="H20" i="3" s="1"/>
  <c r="A20" i="3"/>
  <c r="G19" i="3"/>
  <c r="F19" i="3"/>
  <c r="E19" i="3"/>
  <c r="D19" i="3"/>
  <c r="C19" i="3"/>
  <c r="B19" i="3"/>
  <c r="H19" i="3" s="1"/>
  <c r="A19" i="3"/>
  <c r="G18" i="3"/>
  <c r="F18" i="3"/>
  <c r="E18" i="3"/>
  <c r="D18" i="3"/>
  <c r="C18" i="3"/>
  <c r="B18" i="3"/>
  <c r="H18" i="3" s="1"/>
  <c r="A18" i="3"/>
  <c r="G17" i="3"/>
  <c r="F17" i="3"/>
  <c r="E17" i="3"/>
  <c r="D17" i="3"/>
  <c r="C17" i="3"/>
  <c r="B17" i="3"/>
  <c r="H17" i="3" s="1"/>
  <c r="A17" i="3"/>
  <c r="G16" i="3"/>
  <c r="F16" i="3"/>
  <c r="E16" i="3"/>
  <c r="D16" i="3"/>
  <c r="C16" i="3"/>
  <c r="B16" i="3"/>
  <c r="H16" i="3" s="1"/>
  <c r="A16" i="3"/>
  <c r="G15" i="3"/>
  <c r="F15" i="3"/>
  <c r="E15" i="3"/>
  <c r="D15" i="3"/>
  <c r="C15" i="3"/>
  <c r="B15" i="3"/>
  <c r="H15" i="3" s="1"/>
  <c r="A15" i="3"/>
  <c r="G14" i="3"/>
  <c r="F14" i="3"/>
  <c r="E14" i="3"/>
  <c r="D14" i="3"/>
  <c r="C14" i="3"/>
  <c r="B14" i="3"/>
  <c r="H14" i="3" s="1"/>
  <c r="A14" i="3"/>
  <c r="G13" i="3"/>
  <c r="F13" i="3"/>
  <c r="E13" i="3"/>
  <c r="D13" i="3"/>
  <c r="C13" i="3"/>
  <c r="B13" i="3"/>
  <c r="H13" i="3" s="1"/>
  <c r="A13" i="3"/>
  <c r="G12" i="3"/>
  <c r="F12" i="3"/>
  <c r="E12" i="3"/>
  <c r="D12" i="3"/>
  <c r="C12" i="3"/>
  <c r="B12" i="3"/>
  <c r="H12" i="3" s="1"/>
  <c r="A12" i="3"/>
  <c r="G11" i="3"/>
  <c r="F11" i="3"/>
  <c r="E11" i="3"/>
  <c r="D11" i="3"/>
  <c r="C11" i="3"/>
  <c r="B11" i="3"/>
  <c r="H11" i="3" s="1"/>
  <c r="A11" i="3"/>
  <c r="G10" i="3"/>
  <c r="F10" i="3"/>
  <c r="E10" i="3"/>
  <c r="D10" i="3"/>
  <c r="C10" i="3"/>
  <c r="B10" i="3"/>
  <c r="H10" i="3" s="1"/>
  <c r="A10" i="3"/>
  <c r="G9" i="3"/>
  <c r="F9" i="3"/>
  <c r="E9" i="3"/>
  <c r="D9" i="3"/>
  <c r="C9" i="3"/>
  <c r="B9" i="3"/>
  <c r="H9" i="3" s="1"/>
  <c r="A9" i="3"/>
  <c r="G8" i="3"/>
  <c r="F8" i="3"/>
  <c r="E8" i="3"/>
  <c r="D8" i="3"/>
  <c r="C8" i="3"/>
  <c r="B8" i="3"/>
  <c r="H8" i="3" s="1"/>
  <c r="A8" i="3"/>
  <c r="G7" i="3"/>
  <c r="F7" i="3"/>
  <c r="E7" i="3"/>
  <c r="D7" i="3"/>
  <c r="C7" i="3"/>
  <c r="B7" i="3"/>
  <c r="H7" i="3" s="1"/>
  <c r="A7" i="3"/>
  <c r="E6" i="3"/>
  <c r="A6" i="3"/>
  <c r="L13" i="1"/>
  <c r="K13" i="1"/>
  <c r="C13" i="4" s="1"/>
  <c r="L12" i="1"/>
  <c r="K12" i="1"/>
  <c r="L11" i="1"/>
  <c r="K11" i="1"/>
  <c r="C11" i="4" s="1"/>
  <c r="L10" i="1"/>
  <c r="K10" i="1"/>
  <c r="C10" i="4" s="1"/>
  <c r="L9" i="1"/>
  <c r="K9" i="1"/>
  <c r="C9" i="4" s="1"/>
  <c r="L8" i="1"/>
  <c r="K8" i="1"/>
  <c r="C8" i="4" s="1"/>
  <c r="L7" i="1"/>
  <c r="K7" i="1"/>
  <c r="C6" i="3" s="1"/>
  <c r="L6" i="1"/>
  <c r="K6" i="1"/>
  <c r="B6" i="3" s="1"/>
  <c r="D6" i="4" l="1"/>
  <c r="D13" i="4"/>
  <c r="D8" i="4"/>
  <c r="D9" i="4"/>
  <c r="D10" i="4"/>
  <c r="D11" i="4"/>
  <c r="D12" i="4"/>
  <c r="C6" i="4"/>
  <c r="C12" i="4"/>
  <c r="H6" i="3"/>
  <c r="C7" i="4"/>
  <c r="D7" i="4" s="1"/>
  <c r="B7" i="5" l="1"/>
  <c r="D7" i="5" s="1"/>
  <c r="B37" i="4"/>
  <c r="E7" i="4"/>
  <c r="E6" i="4"/>
  <c r="B6" i="5"/>
  <c r="D6" i="5" s="1"/>
  <c r="B36" i="4"/>
  <c r="B11" i="5"/>
  <c r="D11" i="5" s="1"/>
  <c r="B41" i="4"/>
  <c r="E11" i="4"/>
  <c r="B42" i="4"/>
  <c r="E12" i="4"/>
  <c r="B12" i="5"/>
  <c r="D12" i="5" s="1"/>
  <c r="B8" i="5"/>
  <c r="D8" i="5" s="1"/>
  <c r="E8" i="4"/>
  <c r="B38" i="4"/>
  <c r="B10" i="5"/>
  <c r="D10" i="5" s="1"/>
  <c r="B40" i="4"/>
  <c r="E10" i="4"/>
  <c r="B39" i="4"/>
  <c r="B9" i="5"/>
  <c r="D9" i="5" s="1"/>
  <c r="E9" i="4"/>
  <c r="B43" i="4"/>
  <c r="B13" i="5"/>
  <c r="D13" i="5" s="1"/>
  <c r="E13" i="4"/>
  <c r="E10" i="5" l="1"/>
  <c r="E6" i="5"/>
  <c r="E9" i="5"/>
  <c r="E13" i="5"/>
  <c r="E12" i="5"/>
  <c r="E11" i="5"/>
  <c r="E8" i="5"/>
  <c r="E7" i="5"/>
</calcChain>
</file>

<file path=xl/sharedStrings.xml><?xml version="1.0" encoding="utf-8"?>
<sst xmlns="http://schemas.openxmlformats.org/spreadsheetml/2006/main" count="99" uniqueCount="56">
  <si>
    <t>DASHBOARD - ANALYSE ET GRAPHIQUES</t>
  </si>
  <si>
    <t>DERNIÈRE GW ENREGISTRÉE</t>
  </si>
  <si>
    <t>Ligue</t>
  </si>
  <si>
    <t>Participants</t>
  </si>
  <si>
    <t>Cash Pool</t>
  </si>
  <si>
    <t>EV</t>
  </si>
  <si>
    <t>Rang</t>
  </si>
  <si>
    <t>Ligue 1</t>
  </si>
  <si>
    <t>Premier League</t>
  </si>
  <si>
    <t>LaLiga</t>
  </si>
  <si>
    <t>Bundesliga</t>
  </si>
  <si>
    <t>Eredivisie</t>
  </si>
  <si>
    <t>Jupiler Pro</t>
  </si>
  <si>
    <t>Challenger</t>
  </si>
  <si>
    <t>Contender</t>
  </si>
  <si>
    <t>DONNÉES POUR GRAPHIQUES (auto-calculées)</t>
  </si>
  <si>
    <t>GW</t>
  </si>
  <si>
    <t>EV par ligue (dernière GW)</t>
  </si>
  <si>
    <t>HISTORIQUE DES PARTICIPANTS PAR GAMEWEEK</t>
  </si>
  <si>
    <t>Entre le numéro de GW et le nombre de participants pour chaque ligue (cellules BLEUES)</t>
  </si>
  <si>
    <t>Date</t>
  </si>
  <si>
    <t>CALCUL EV AUTOMATIQUE PAR GAMEWEEK</t>
  </si>
  <si>
    <t>Les EV sont calculés automatiquement à partir de l'historique et des récompenses configurées</t>
  </si>
  <si>
    <t>EV Ligue 1</t>
  </si>
  <si>
    <t>EV Premier League</t>
  </si>
  <si>
    <t>EV LaLiga</t>
  </si>
  <si>
    <t>EV Bundesliga</t>
  </si>
  <si>
    <t>EV Eredivisie</t>
  </si>
  <si>
    <t>EV Jupiler Pro</t>
  </si>
  <si>
    <t>Meilleure Ligue</t>
  </si>
  <si>
    <t>CONFIGURATION DES PALIERS DE RÉCOMPENSES PAR LIGUE</t>
  </si>
  <si>
    <t>Modifie les cellules BLEUES si les prize pools changent</t>
  </si>
  <si>
    <t>1er</t>
  </si>
  <si>
    <t>2e</t>
  </si>
  <si>
    <t>3e</t>
  </si>
  <si>
    <t>4e</t>
  </si>
  <si>
    <t>5e</t>
  </si>
  <si>
    <t>6-10e</t>
  </si>
  <si>
    <t>11-15e</t>
  </si>
  <si>
    <t>16-20e</t>
  </si>
  <si>
    <t>21-25e</t>
  </si>
  <si>
    <t>Total Cash</t>
  </si>
  <si>
    <t>Places Cash</t>
  </si>
  <si>
    <t>Note: 6-10e signifie la récompense pour CHAQUE place de 6 à 10 (soit 5 places)</t>
  </si>
  <si>
    <t>CALCUL EV AJUSTÉ AVEC TON EDGE PERSONNEL</t>
  </si>
  <si>
    <t>Ajuste ton multiplicateur d'edge par ligue (1.0 = neutre, 1.3 = +30% de chances)</t>
  </si>
  <si>
    <t>EV Base</t>
  </si>
  <si>
    <t>Ton Edge</t>
  </si>
  <si>
    <t>EV Ajusté</t>
  </si>
  <si>
    <t>Rang Ajusté</t>
  </si>
  <si>
    <t>GUIDE EDGE:</t>
  </si>
  <si>
    <t>0.8 = Désavantage (tu connais mal)</t>
  </si>
  <si>
    <t>1.0 = Neutre</t>
  </si>
  <si>
    <t>1.2 = Tu suis la ligue</t>
  </si>
  <si>
    <t>1.3 = Tu connais bien les compos</t>
  </si>
  <si>
    <t>1.5+ = 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</si>
</sst>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12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i/>
      <sz val="10"/>
      <name val="Calibri"/>
    </font>
    <font>
      <b/>
      <sz val="11"/>
      <color rgb="FF006400"/>
      <name val="Calibri"/>
    </font>
    <font>
      <b/>
      <sz val="16"/>
      <color rgb="FF1F4E79"/>
      <name val="Calibri"/>
    </font>
    <font>
      <b/>
      <sz val="12"/>
      <color rgb="FF1F4E79"/>
      <name val="Calibri"/>
    </font>
    <font>
      <b/>
      <sz val="10"/>
      <color rgb="FF80808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164" fontId="5" fillId="3" borderId="1" xfId="0" applyNumberFormat="1" applyFont="1" applyFill="1" applyBorder="1"/>
    <xf numFmtId="164" fontId="0" fillId="4" borderId="1" xfId="0" applyNumberFormat="1" applyFill="1" applyBorder="1"/>
    <xf numFmtId="0" fontId="0" fillId="4" borderId="1" xfId="0" applyFill="1" applyBorder="1"/>
    <xf numFmtId="0" fontId="6" fillId="0" borderId="0" xfId="0" applyFont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7" fillId="0" borderId="1" xfId="0" applyFont="1" applyBorder="1"/>
    <xf numFmtId="0" fontId="9" fillId="0" borderId="0" xfId="0" applyFont="1"/>
    <xf numFmtId="0" fontId="3" fillId="2" borderId="1" xfId="0" applyFont="1" applyFill="1" applyBorder="1"/>
    <xf numFmtId="164" fontId="0" fillId="0" borderId="1" xfId="0" applyNumberFormat="1" applyBorder="1"/>
    <xf numFmtId="0" fontId="10" fillId="0" borderId="0" xfId="0" applyFont="1"/>
    <xf numFmtId="0" fontId="11" fillId="0" borderId="0" xfId="0" applyFont="1"/>
    <xf numFmtId="0" fontId="5" fillId="3" borderId="1" xfId="0" applyFont="1" applyFill="1" applyBorder="1"/>
    <xf numFmtId="0" fontId="4" fillId="0" borderId="0" xfId="0" applyFont="1"/>
    <xf numFmtId="0" fontId="0" fillId="0" borderId="0" xfId="0"/>
    <xf numFmtId="16" fontId="0" fillId="3" borderId="1" xfId="0" applyNumberFormat="1" applyFill="1" applyBorder="1"/>
    <xf numFmtId="0" fontId="8" fillId="0" borderId="0" xfId="0" applyFont="1" applyAlignment="1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r-FR"/>
              <a:t>Evolution du nombre de participants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Ligue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Dashboard!$A$18:$A$32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25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</c:numCache>
            </c:numRef>
          </c:cat>
          <c:val>
            <c:numRef>
              <c:f>Dashboard!$B$18:$B$32</c:f>
              <c:numCache>
                <c:formatCode>General</c:formatCode>
                <c:ptCount val="15"/>
                <c:pt idx="0">
                  <c:v>67</c:v>
                </c:pt>
                <c:pt idx="1">
                  <c:v>118</c:v>
                </c:pt>
                <c:pt idx="2">
                  <c:v>122</c:v>
                </c:pt>
                <c:pt idx="3">
                  <c:v>148</c:v>
                </c:pt>
                <c:pt idx="4">
                  <c:v>162</c:v>
                </c:pt>
                <c:pt idx="5">
                  <c:v>184</c:v>
                </c:pt>
                <c:pt idx="6">
                  <c:v>188</c:v>
                </c:pt>
                <c:pt idx="7">
                  <c:v>202</c:v>
                </c:pt>
                <c:pt idx="8">
                  <c:v>210</c:v>
                </c:pt>
                <c:pt idx="9">
                  <c:v>201</c:v>
                </c:pt>
                <c:pt idx="10">
                  <c:v>205</c:v>
                </c:pt>
                <c:pt idx="11">
                  <c:v>212</c:v>
                </c:pt>
                <c:pt idx="12">
                  <c:v>217</c:v>
                </c:pt>
                <c:pt idx="13">
                  <c:v>222</c:v>
                </c:pt>
                <c:pt idx="14">
                  <c:v>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D9-46E7-8D3E-C9404CE699E8}"/>
            </c:ext>
          </c:extLst>
        </c:ser>
        <c:ser>
          <c:idx val="1"/>
          <c:order val="1"/>
          <c:tx>
            <c:strRef>
              <c:f>Dashboard!$C$17</c:f>
              <c:strCache>
                <c:ptCount val="1"/>
                <c:pt idx="0">
                  <c:v>Premier League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Dashboard!$A$18:$A$32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25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</c:numCache>
            </c:numRef>
          </c:cat>
          <c:val>
            <c:numRef>
              <c:f>Dashboard!$C$18:$C$32</c:f>
              <c:numCache>
                <c:formatCode>General</c:formatCode>
                <c:ptCount val="15"/>
                <c:pt idx="0">
                  <c:v>103</c:v>
                </c:pt>
                <c:pt idx="1">
                  <c:v>155</c:v>
                </c:pt>
                <c:pt idx="2">
                  <c:v>168</c:v>
                </c:pt>
                <c:pt idx="3">
                  <c:v>185</c:v>
                </c:pt>
                <c:pt idx="4">
                  <c:v>205</c:v>
                </c:pt>
                <c:pt idx="5">
                  <c:v>223</c:v>
                </c:pt>
                <c:pt idx="6">
                  <c:v>230</c:v>
                </c:pt>
                <c:pt idx="7">
                  <c:v>239</c:v>
                </c:pt>
                <c:pt idx="8">
                  <c:v>248</c:v>
                </c:pt>
                <c:pt idx="9">
                  <c:v>0</c:v>
                </c:pt>
                <c:pt idx="10">
                  <c:v>256</c:v>
                </c:pt>
                <c:pt idx="11">
                  <c:v>262</c:v>
                </c:pt>
                <c:pt idx="12">
                  <c:v>274</c:v>
                </c:pt>
                <c:pt idx="13">
                  <c:v>285</c:v>
                </c:pt>
                <c:pt idx="14">
                  <c:v>294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D9-46E7-8D3E-C9404CE699E8}"/>
            </c:ext>
          </c:extLst>
        </c:ser>
        <c:ser>
          <c:idx val="2"/>
          <c:order val="2"/>
          <c:tx>
            <c:strRef>
              <c:f>Dashboard!$D$17</c:f>
              <c:strCache>
                <c:ptCount val="1"/>
                <c:pt idx="0">
                  <c:v>LaLiga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Dashboard!$A$18:$A$32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25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</c:numCache>
            </c:numRef>
          </c:cat>
          <c:val>
            <c:numRef>
              <c:f>Dashboard!$D$18:$D$32</c:f>
              <c:numCache>
                <c:formatCode>General</c:formatCode>
                <c:ptCount val="15"/>
                <c:pt idx="0">
                  <c:v>83</c:v>
                </c:pt>
                <c:pt idx="1">
                  <c:v>146</c:v>
                </c:pt>
                <c:pt idx="2">
                  <c:v>156</c:v>
                </c:pt>
                <c:pt idx="3">
                  <c:v>189</c:v>
                </c:pt>
                <c:pt idx="4">
                  <c:v>197</c:v>
                </c:pt>
                <c:pt idx="5">
                  <c:v>224</c:v>
                </c:pt>
                <c:pt idx="6">
                  <c:v>230</c:v>
                </c:pt>
                <c:pt idx="7">
                  <c:v>259</c:v>
                </c:pt>
                <c:pt idx="8">
                  <c:v>251</c:v>
                </c:pt>
                <c:pt idx="9">
                  <c:v>0</c:v>
                </c:pt>
                <c:pt idx="10">
                  <c:v>255</c:v>
                </c:pt>
                <c:pt idx="11">
                  <c:v>256</c:v>
                </c:pt>
                <c:pt idx="12">
                  <c:v>273</c:v>
                </c:pt>
                <c:pt idx="13">
                  <c:v>282</c:v>
                </c:pt>
                <c:pt idx="14">
                  <c:v>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2D9-46E7-8D3E-C9404CE699E8}"/>
            </c:ext>
          </c:extLst>
        </c:ser>
        <c:ser>
          <c:idx val="3"/>
          <c:order val="3"/>
          <c:tx>
            <c:strRef>
              <c:f>Dashboard!$E$17</c:f>
              <c:strCache>
                <c:ptCount val="1"/>
                <c:pt idx="0">
                  <c:v>Bundesliga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Dashboard!$A$18:$A$32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25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</c:numCache>
            </c:numRef>
          </c:cat>
          <c:val>
            <c:numRef>
              <c:f>Dashboard!$E$18:$E$32</c:f>
              <c:numCache>
                <c:formatCode>General</c:formatCode>
                <c:ptCount val="15"/>
                <c:pt idx="0">
                  <c:v>0</c:v>
                </c:pt>
                <c:pt idx="1">
                  <c:v>75</c:v>
                </c:pt>
                <c:pt idx="2">
                  <c:v>135</c:v>
                </c:pt>
                <c:pt idx="3">
                  <c:v>157</c:v>
                </c:pt>
                <c:pt idx="4">
                  <c:v>169</c:v>
                </c:pt>
                <c:pt idx="5">
                  <c:v>189</c:v>
                </c:pt>
                <c:pt idx="6">
                  <c:v>196</c:v>
                </c:pt>
                <c:pt idx="7">
                  <c:v>211</c:v>
                </c:pt>
                <c:pt idx="8">
                  <c:v>213</c:v>
                </c:pt>
                <c:pt idx="9">
                  <c:v>0</c:v>
                </c:pt>
                <c:pt idx="10">
                  <c:v>215</c:v>
                </c:pt>
                <c:pt idx="11">
                  <c:v>231</c:v>
                </c:pt>
                <c:pt idx="12">
                  <c:v>238</c:v>
                </c:pt>
                <c:pt idx="13">
                  <c:v>242</c:v>
                </c:pt>
                <c:pt idx="14">
                  <c:v>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2D9-46E7-8D3E-C9404CE699E8}"/>
            </c:ext>
          </c:extLst>
        </c:ser>
        <c:ser>
          <c:idx val="4"/>
          <c:order val="4"/>
          <c:tx>
            <c:strRef>
              <c:f>Dashboard!$F$17</c:f>
              <c:strCache>
                <c:ptCount val="1"/>
                <c:pt idx="0">
                  <c:v>Eredivisie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Dashboard!$A$18:$A$32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25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</c:numCache>
            </c:numRef>
          </c:cat>
          <c:val>
            <c:numRef>
              <c:f>Dashboard!$F$18:$F$32</c:f>
              <c:numCache>
                <c:formatCode>General</c:formatCode>
                <c:ptCount val="15"/>
                <c:pt idx="0">
                  <c:v>97</c:v>
                </c:pt>
                <c:pt idx="1">
                  <c:v>80</c:v>
                </c:pt>
                <c:pt idx="2">
                  <c:v>99</c:v>
                </c:pt>
                <c:pt idx="3">
                  <c:v>121</c:v>
                </c:pt>
                <c:pt idx="4">
                  <c:v>127</c:v>
                </c:pt>
                <c:pt idx="5">
                  <c:v>141</c:v>
                </c:pt>
                <c:pt idx="6">
                  <c:v>148</c:v>
                </c:pt>
                <c:pt idx="7">
                  <c:v>155</c:v>
                </c:pt>
                <c:pt idx="8">
                  <c:v>154</c:v>
                </c:pt>
                <c:pt idx="9">
                  <c:v>0</c:v>
                </c:pt>
                <c:pt idx="10">
                  <c:v>160</c:v>
                </c:pt>
                <c:pt idx="11">
                  <c:v>173</c:v>
                </c:pt>
                <c:pt idx="12">
                  <c:v>180</c:v>
                </c:pt>
                <c:pt idx="13">
                  <c:v>184</c:v>
                </c:pt>
                <c:pt idx="14">
                  <c:v>185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2D9-46E7-8D3E-C9404CE699E8}"/>
            </c:ext>
          </c:extLst>
        </c:ser>
        <c:ser>
          <c:idx val="5"/>
          <c:order val="5"/>
          <c:tx>
            <c:strRef>
              <c:f>Dashboard!$G$17</c:f>
              <c:strCache>
                <c:ptCount val="1"/>
                <c:pt idx="0">
                  <c:v>Jupiler Pro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Dashboard!$A$18:$A$32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25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</c:numCache>
            </c:numRef>
          </c:cat>
          <c:val>
            <c:numRef>
              <c:f>Dashboard!$G$18:$G$32</c:f>
              <c:numCache>
                <c:formatCode>General</c:formatCode>
                <c:ptCount val="15"/>
                <c:pt idx="0">
                  <c:v>113</c:v>
                </c:pt>
                <c:pt idx="1">
                  <c:v>75</c:v>
                </c:pt>
                <c:pt idx="2">
                  <c:v>137</c:v>
                </c:pt>
                <c:pt idx="3">
                  <c:v>147</c:v>
                </c:pt>
                <c:pt idx="4">
                  <c:v>144</c:v>
                </c:pt>
                <c:pt idx="5">
                  <c:v>145</c:v>
                </c:pt>
                <c:pt idx="6">
                  <c:v>145</c:v>
                </c:pt>
                <c:pt idx="7">
                  <c:v>154</c:v>
                </c:pt>
                <c:pt idx="8">
                  <c:v>155</c:v>
                </c:pt>
                <c:pt idx="9">
                  <c:v>0</c:v>
                </c:pt>
                <c:pt idx="10">
                  <c:v>154</c:v>
                </c:pt>
                <c:pt idx="11">
                  <c:v>162</c:v>
                </c:pt>
                <c:pt idx="12">
                  <c:v>164</c:v>
                </c:pt>
                <c:pt idx="13">
                  <c:v>168</c:v>
                </c:pt>
                <c:pt idx="14">
                  <c:v>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2D9-46E7-8D3E-C9404CE699E8}"/>
            </c:ext>
          </c:extLst>
        </c:ser>
        <c:ser>
          <c:idx val="6"/>
          <c:order val="6"/>
          <c:tx>
            <c:strRef>
              <c:f>Dashboard!$H$17</c:f>
              <c:strCache>
                <c:ptCount val="1"/>
                <c:pt idx="0">
                  <c:v>Challenger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Dashboard!$A$18:$A$32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25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</c:numCache>
            </c:numRef>
          </c:cat>
          <c:val>
            <c:numRef>
              <c:f>Dashboard!$H$18:$H$32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2D9-46E7-8D3E-C9404CE699E8}"/>
            </c:ext>
          </c:extLst>
        </c:ser>
        <c:ser>
          <c:idx val="7"/>
          <c:order val="7"/>
          <c:tx>
            <c:strRef>
              <c:f>Dashboard!$I$17</c:f>
              <c:strCache>
                <c:ptCount val="1"/>
                <c:pt idx="0">
                  <c:v>Contender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Dashboard!$A$18:$A$32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25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</c:numCache>
            </c:numRef>
          </c:cat>
          <c:val>
            <c:numRef>
              <c:f>Dashboard!$I$18:$I$32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2D9-46E7-8D3E-C9404CE69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GameWeek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Participants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657850" cy="247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workbookViewId="0">
      <selection activeCell="B6" sqref="B6"/>
    </sheetView>
  </sheetViews>
  <sheetFormatPr defaultColWidth="8.7109375" defaultRowHeight="14.45"/>
  <cols>
    <col min="1" max="1" width="18" customWidth="1"/>
    <col min="2" max="14" width="14" customWidth="1"/>
  </cols>
  <sheetData>
    <row r="1" spans="1:12" ht="2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3" spans="1:12" ht="15.6">
      <c r="A3" s="14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5" spans="1:12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21"/>
      <c r="G5" s="21"/>
      <c r="H5" s="21"/>
      <c r="I5" s="21"/>
      <c r="J5" s="21"/>
      <c r="K5" s="21"/>
      <c r="L5" s="21"/>
    </row>
    <row r="6" spans="1:12">
      <c r="A6" s="3" t="s">
        <v>7</v>
      </c>
      <c r="B6" s="11">
        <f>INDEX('Historique GW'!C:C,MATCH(9E+99,'Historique GW'!C:C))</f>
        <v>251</v>
      </c>
      <c r="C6" s="16">
        <f>'Config Rewards'!K6</f>
        <v>12350</v>
      </c>
      <c r="D6" s="12">
        <f t="shared" ref="D6:D13" si="0">IF(B6&gt;0,C6/B6,0)</f>
        <v>49.203187250996017</v>
      </c>
      <c r="E6" s="11" t="e">
        <f t="shared" ref="E6:E13" si="1">IF(D6&gt;0,RANK(D6,$D$6:$D$13,0),"")</f>
        <v>#REF!</v>
      </c>
      <c r="F6" s="21"/>
      <c r="G6" s="21"/>
      <c r="H6" s="21"/>
      <c r="I6" s="21"/>
      <c r="J6" s="21"/>
      <c r="K6" s="21"/>
      <c r="L6" s="21"/>
    </row>
    <row r="7" spans="1:12">
      <c r="A7" s="3" t="s">
        <v>8</v>
      </c>
      <c r="B7" s="11">
        <f>INDEX('Historique GW'!D:D,MATCH(9E+99,'Historique GW'!D:D))</f>
        <v>326</v>
      </c>
      <c r="C7" s="16">
        <f>'Config Rewards'!K7</f>
        <v>16100</v>
      </c>
      <c r="D7" s="12">
        <f t="shared" si="0"/>
        <v>49.386503067484661</v>
      </c>
      <c r="E7" s="11" t="e">
        <f t="shared" si="1"/>
        <v>#REF!</v>
      </c>
      <c r="F7" s="21"/>
      <c r="G7" s="21"/>
      <c r="H7" s="21"/>
      <c r="I7" s="21"/>
      <c r="J7" s="21"/>
      <c r="K7" s="21"/>
      <c r="L7" s="21"/>
    </row>
    <row r="8" spans="1:12">
      <c r="A8" s="3" t="s">
        <v>9</v>
      </c>
      <c r="B8" s="11">
        <f>INDEX('Historique GW'!E:E,MATCH(9E+99,'Historique GW'!E:E))</f>
        <v>297</v>
      </c>
      <c r="C8" s="16">
        <f>'Config Rewards'!K8</f>
        <v>12725</v>
      </c>
      <c r="D8" s="12">
        <f t="shared" si="0"/>
        <v>42.845117845117848</v>
      </c>
      <c r="E8" s="11" t="e">
        <f t="shared" si="1"/>
        <v>#REF!</v>
      </c>
      <c r="F8" s="21"/>
      <c r="G8" s="21"/>
      <c r="H8" s="21"/>
      <c r="I8" s="21"/>
      <c r="J8" s="21"/>
      <c r="K8" s="21"/>
      <c r="L8" s="21"/>
    </row>
    <row r="9" spans="1:12">
      <c r="A9" s="3" t="s">
        <v>10</v>
      </c>
      <c r="B9" s="11">
        <f>INDEX('Historique GW'!F:F,MATCH(9E+99,'Historique GW'!F:F))</f>
        <v>273</v>
      </c>
      <c r="C9" s="16">
        <f>'Config Rewards'!K9</f>
        <v>12350</v>
      </c>
      <c r="D9" s="12">
        <f t="shared" si="0"/>
        <v>45.238095238095241</v>
      </c>
      <c r="E9" s="11" t="e">
        <f t="shared" si="1"/>
        <v>#REF!</v>
      </c>
      <c r="F9" s="21"/>
      <c r="G9" s="21"/>
      <c r="H9" s="21"/>
      <c r="I9" s="21"/>
      <c r="J9" s="21"/>
      <c r="K9" s="21"/>
      <c r="L9" s="21"/>
    </row>
    <row r="10" spans="1:12">
      <c r="A10" s="3" t="s">
        <v>11</v>
      </c>
      <c r="B10" s="11">
        <f>INDEX('Historique GW'!G:G,MATCH(9E+99,'Historique GW'!G:G))</f>
        <v>192</v>
      </c>
      <c r="C10" s="16">
        <f>'Config Rewards'!K10</f>
        <v>6600</v>
      </c>
      <c r="D10" s="12">
        <f t="shared" si="0"/>
        <v>34.375</v>
      </c>
      <c r="E10" s="11" t="e">
        <f t="shared" si="1"/>
        <v>#REF!</v>
      </c>
      <c r="F10" s="21"/>
      <c r="G10" s="21"/>
      <c r="H10" s="21"/>
      <c r="I10" s="21"/>
      <c r="J10" s="21"/>
      <c r="K10" s="21"/>
      <c r="L10" s="21"/>
    </row>
    <row r="11" spans="1:12">
      <c r="A11" s="3" t="s">
        <v>12</v>
      </c>
      <c r="B11" s="11">
        <f>INDEX('Historique GW'!H:H,MATCH(9E+99,'Historique GW'!H:H))</f>
        <v>188</v>
      </c>
      <c r="C11" s="16">
        <f>'Config Rewards'!K11</f>
        <v>5200</v>
      </c>
      <c r="D11" s="12">
        <f t="shared" si="0"/>
        <v>27.659574468085108</v>
      </c>
      <c r="E11" s="11" t="e">
        <f t="shared" si="1"/>
        <v>#REF!</v>
      </c>
      <c r="F11" s="21"/>
      <c r="G11" s="21"/>
      <c r="H11" s="21"/>
      <c r="I11" s="21"/>
      <c r="J11" s="21"/>
      <c r="K11" s="21"/>
      <c r="L11" s="21"/>
    </row>
    <row r="12" spans="1:12">
      <c r="A12" s="3" t="s">
        <v>13</v>
      </c>
      <c r="B12" s="11" t="e">
        <f>INDEX('Historique GW'!#REF!,MATCH(9E+99,'Historique GW'!#REF!))</f>
        <v>#REF!</v>
      </c>
      <c r="C12" s="16">
        <f>'Config Rewards'!K12</f>
        <v>4875</v>
      </c>
      <c r="D12" s="12" t="e">
        <f t="shared" si="0"/>
        <v>#REF!</v>
      </c>
      <c r="E12" s="11" t="e">
        <f t="shared" si="1"/>
        <v>#REF!</v>
      </c>
      <c r="F12" s="21"/>
      <c r="G12" s="21"/>
      <c r="H12" s="21"/>
      <c r="I12" s="21"/>
      <c r="J12" s="21"/>
      <c r="K12" s="21"/>
      <c r="L12" s="21"/>
    </row>
    <row r="13" spans="1:12">
      <c r="A13" s="3" t="s">
        <v>14</v>
      </c>
      <c r="B13" s="11" t="e">
        <f>INDEX('Historique GW'!#REF!,MATCH(9E+99,'Historique GW'!#REF!))</f>
        <v>#REF!</v>
      </c>
      <c r="C13" s="16">
        <f>'Config Rewards'!K13</f>
        <v>4000</v>
      </c>
      <c r="D13" s="12" t="e">
        <f t="shared" si="0"/>
        <v>#REF!</v>
      </c>
      <c r="E13" s="11" t="e">
        <f t="shared" si="1"/>
        <v>#REF!</v>
      </c>
      <c r="F13" s="21"/>
      <c r="G13" s="21"/>
      <c r="H13" s="21"/>
      <c r="I13" s="21"/>
      <c r="J13" s="21"/>
      <c r="K13" s="21"/>
      <c r="L13" s="21"/>
    </row>
    <row r="16" spans="1:12">
      <c r="A16" s="17" t="s">
        <v>15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9">
      <c r="A17" s="21" t="s">
        <v>16</v>
      </c>
      <c r="B17" s="21" t="s">
        <v>7</v>
      </c>
      <c r="C17" s="21" t="s">
        <v>8</v>
      </c>
      <c r="D17" s="21" t="s">
        <v>9</v>
      </c>
      <c r="E17" s="21" t="s">
        <v>10</v>
      </c>
      <c r="F17" s="21" t="s">
        <v>11</v>
      </c>
      <c r="G17" s="21" t="s">
        <v>12</v>
      </c>
      <c r="H17" s="21" t="s">
        <v>13</v>
      </c>
      <c r="I17" s="21" t="s">
        <v>14</v>
      </c>
    </row>
    <row r="18" spans="1:9">
      <c r="A18" s="21">
        <f>'Historique GW'!A6</f>
        <v>1</v>
      </c>
      <c r="B18" s="21">
        <f>'Historique GW'!C6</f>
        <v>67</v>
      </c>
      <c r="C18" s="21">
        <f>'Historique GW'!D6</f>
        <v>103</v>
      </c>
      <c r="D18" s="21">
        <f>'Historique GW'!E6</f>
        <v>83</v>
      </c>
      <c r="E18" s="21">
        <f>'Historique GW'!F6</f>
        <v>0</v>
      </c>
      <c r="F18" s="21">
        <f>'Historique GW'!G6</f>
        <v>97</v>
      </c>
      <c r="G18" s="21">
        <f>'Historique GW'!H6</f>
        <v>113</v>
      </c>
      <c r="H18" s="21" t="e">
        <f>'Historique GW'!#REF!</f>
        <v>#REF!</v>
      </c>
      <c r="I18" s="21" t="e">
        <f>'Historique GW'!#REF!</f>
        <v>#REF!</v>
      </c>
    </row>
    <row r="19" spans="1:9">
      <c r="A19" s="21">
        <f>'Historique GW'!A7</f>
        <v>3</v>
      </c>
      <c r="B19" s="21">
        <f>'Historique GW'!C7</f>
        <v>118</v>
      </c>
      <c r="C19" s="21">
        <f>'Historique GW'!D7</f>
        <v>155</v>
      </c>
      <c r="D19" s="21">
        <f>'Historique GW'!E7</f>
        <v>146</v>
      </c>
      <c r="E19" s="21">
        <f>'Historique GW'!F7</f>
        <v>75</v>
      </c>
      <c r="F19" s="21">
        <f>'Historique GW'!G7</f>
        <v>80</v>
      </c>
      <c r="G19" s="21">
        <f>'Historique GW'!H7</f>
        <v>75</v>
      </c>
      <c r="H19" s="21" t="e">
        <f>'Historique GW'!#REF!</f>
        <v>#REF!</v>
      </c>
      <c r="I19" s="21" t="e">
        <f>'Historique GW'!#REF!</f>
        <v>#REF!</v>
      </c>
    </row>
    <row r="20" spans="1:9">
      <c r="A20" s="21">
        <f>'Historique GW'!A8</f>
        <v>5</v>
      </c>
      <c r="B20" s="21">
        <f>'Historique GW'!C8</f>
        <v>122</v>
      </c>
      <c r="C20" s="21">
        <f>'Historique GW'!D8</f>
        <v>168</v>
      </c>
      <c r="D20" s="21">
        <f>'Historique GW'!E8</f>
        <v>156</v>
      </c>
      <c r="E20" s="21">
        <f>'Historique GW'!F8</f>
        <v>135</v>
      </c>
      <c r="F20" s="21">
        <f>'Historique GW'!G8</f>
        <v>99</v>
      </c>
      <c r="G20" s="21">
        <f>'Historique GW'!H8</f>
        <v>137</v>
      </c>
      <c r="H20" s="21" t="e">
        <f>'Historique GW'!#REF!</f>
        <v>#REF!</v>
      </c>
      <c r="I20" s="21" t="e">
        <f>'Historique GW'!#REF!</f>
        <v>#REF!</v>
      </c>
    </row>
    <row r="21" spans="1:9">
      <c r="A21" s="21">
        <f>'Historique GW'!A9</f>
        <v>9</v>
      </c>
      <c r="B21" s="21">
        <f>'Historique GW'!C9</f>
        <v>148</v>
      </c>
      <c r="C21" s="21">
        <f>'Historique GW'!D9</f>
        <v>185</v>
      </c>
      <c r="D21" s="21">
        <f>'Historique GW'!E9</f>
        <v>189</v>
      </c>
      <c r="E21" s="21">
        <f>'Historique GW'!F9</f>
        <v>157</v>
      </c>
      <c r="F21" s="21">
        <f>'Historique GW'!G9</f>
        <v>121</v>
      </c>
      <c r="G21" s="21">
        <f>'Historique GW'!H9</f>
        <v>147</v>
      </c>
      <c r="H21" s="21" t="e">
        <f>'Historique GW'!#REF!</f>
        <v>#REF!</v>
      </c>
      <c r="I21" s="21" t="e">
        <f>'Historique GW'!#REF!</f>
        <v>#REF!</v>
      </c>
    </row>
    <row r="22" spans="1:9">
      <c r="A22" s="21">
        <f>'Historique GW'!A10</f>
        <v>11</v>
      </c>
      <c r="B22" s="21">
        <f>'Historique GW'!C10</f>
        <v>162</v>
      </c>
      <c r="C22" s="21">
        <f>'Historique GW'!D10</f>
        <v>205</v>
      </c>
      <c r="D22" s="21">
        <f>'Historique GW'!E10</f>
        <v>197</v>
      </c>
      <c r="E22" s="21">
        <f>'Historique GW'!F10</f>
        <v>169</v>
      </c>
      <c r="F22" s="21">
        <f>'Historique GW'!G10</f>
        <v>127</v>
      </c>
      <c r="G22" s="21">
        <f>'Historique GW'!H10</f>
        <v>144</v>
      </c>
      <c r="H22" s="21" t="e">
        <f>'Historique GW'!#REF!</f>
        <v>#REF!</v>
      </c>
      <c r="I22" s="21" t="e">
        <f>'Historique GW'!#REF!</f>
        <v>#REF!</v>
      </c>
    </row>
    <row r="23" spans="1:9">
      <c r="A23" s="21">
        <f>'Historique GW'!A11</f>
        <v>13</v>
      </c>
      <c r="B23" s="21">
        <f>'Historique GW'!C11</f>
        <v>184</v>
      </c>
      <c r="C23" s="21">
        <f>'Historique GW'!D11</f>
        <v>223</v>
      </c>
      <c r="D23" s="21">
        <f>'Historique GW'!E11</f>
        <v>224</v>
      </c>
      <c r="E23" s="21">
        <f>'Historique GW'!F11</f>
        <v>189</v>
      </c>
      <c r="F23" s="21">
        <f>'Historique GW'!G11</f>
        <v>141</v>
      </c>
      <c r="G23" s="21">
        <f>'Historique GW'!H11</f>
        <v>145</v>
      </c>
      <c r="H23" s="21" t="e">
        <f>'Historique GW'!#REF!</f>
        <v>#REF!</v>
      </c>
      <c r="I23" s="21" t="e">
        <f>'Historique GW'!#REF!</f>
        <v>#REF!</v>
      </c>
    </row>
    <row r="24" spans="1:9">
      <c r="A24" s="21">
        <f>'Historique GW'!A12</f>
        <v>15</v>
      </c>
      <c r="B24" s="21">
        <f>'Historique GW'!C12</f>
        <v>188</v>
      </c>
      <c r="C24" s="21">
        <f>'Historique GW'!D12</f>
        <v>230</v>
      </c>
      <c r="D24" s="21">
        <f>'Historique GW'!E12</f>
        <v>230</v>
      </c>
      <c r="E24" s="21">
        <f>'Historique GW'!F12</f>
        <v>196</v>
      </c>
      <c r="F24" s="21">
        <f>'Historique GW'!G12</f>
        <v>148</v>
      </c>
      <c r="G24" s="21">
        <f>'Historique GW'!H12</f>
        <v>145</v>
      </c>
      <c r="H24" s="21" t="e">
        <f>'Historique GW'!#REF!</f>
        <v>#REF!</v>
      </c>
      <c r="I24" s="21" t="e">
        <f>'Historique GW'!#REF!</f>
        <v>#REF!</v>
      </c>
    </row>
    <row r="25" spans="1:9">
      <c r="A25" s="21">
        <f>'Historique GW'!A13</f>
        <v>19</v>
      </c>
      <c r="B25" s="21">
        <f>'Historique GW'!C13</f>
        <v>202</v>
      </c>
      <c r="C25" s="21">
        <f>'Historique GW'!D13</f>
        <v>239</v>
      </c>
      <c r="D25" s="21">
        <f>'Historique GW'!E13</f>
        <v>259</v>
      </c>
      <c r="E25" s="21">
        <f>'Historique GW'!F13</f>
        <v>211</v>
      </c>
      <c r="F25" s="21">
        <f>'Historique GW'!G13</f>
        <v>155</v>
      </c>
      <c r="G25" s="21">
        <f>'Historique GW'!H13</f>
        <v>154</v>
      </c>
      <c r="H25" s="21" t="e">
        <f>'Historique GW'!#REF!</f>
        <v>#REF!</v>
      </c>
      <c r="I25" s="21" t="e">
        <f>'Historique GW'!#REF!</f>
        <v>#REF!</v>
      </c>
    </row>
    <row r="26" spans="1:9">
      <c r="A26" s="21">
        <f>'Historique GW'!A14</f>
        <v>21</v>
      </c>
      <c r="B26" s="21">
        <f>'Historique GW'!C14</f>
        <v>210</v>
      </c>
      <c r="C26" s="21">
        <f>'Historique GW'!D14</f>
        <v>248</v>
      </c>
      <c r="D26" s="21">
        <f>'Historique GW'!E14</f>
        <v>251</v>
      </c>
      <c r="E26" s="21">
        <f>'Historique GW'!F14</f>
        <v>213</v>
      </c>
      <c r="F26" s="21">
        <f>'Historique GW'!G14</f>
        <v>154</v>
      </c>
      <c r="G26" s="21">
        <f>'Historique GW'!H14</f>
        <v>155</v>
      </c>
      <c r="H26" s="21" t="e">
        <f>'Historique GW'!#REF!</f>
        <v>#REF!</v>
      </c>
      <c r="I26" s="21" t="e">
        <f>'Historique GW'!#REF!</f>
        <v>#REF!</v>
      </c>
    </row>
    <row r="27" spans="1:9">
      <c r="A27" s="21">
        <f>'Historique GW'!A15</f>
        <v>22</v>
      </c>
      <c r="B27" s="21">
        <f>'Historique GW'!C15</f>
        <v>201</v>
      </c>
      <c r="C27" s="21">
        <f>'Historique GW'!D15</f>
        <v>0</v>
      </c>
      <c r="D27" s="21">
        <f>'Historique GW'!E15</f>
        <v>0</v>
      </c>
      <c r="E27" s="21">
        <f>'Historique GW'!F15</f>
        <v>0</v>
      </c>
      <c r="F27" s="21">
        <f>'Historique GW'!G15</f>
        <v>0</v>
      </c>
      <c r="G27" s="21">
        <f>'Historique GW'!H15</f>
        <v>0</v>
      </c>
      <c r="H27" s="21" t="e">
        <f>'Historique GW'!#REF!</f>
        <v>#REF!</v>
      </c>
      <c r="I27" s="21" t="e">
        <f>'Historique GW'!#REF!</f>
        <v>#REF!</v>
      </c>
    </row>
    <row r="28" spans="1:9">
      <c r="A28" s="21">
        <f>'Historique GW'!A16</f>
        <v>23</v>
      </c>
      <c r="B28" s="21">
        <f>'Historique GW'!C16</f>
        <v>205</v>
      </c>
      <c r="C28" s="21">
        <f>'Historique GW'!D16</f>
        <v>256</v>
      </c>
      <c r="D28" s="21">
        <f>'Historique GW'!E16</f>
        <v>255</v>
      </c>
      <c r="E28" s="21">
        <f>'Historique GW'!F16</f>
        <v>215</v>
      </c>
      <c r="F28" s="21">
        <f>'Historique GW'!G16</f>
        <v>160</v>
      </c>
      <c r="G28" s="21">
        <f>'Historique GW'!H16</f>
        <v>154</v>
      </c>
      <c r="H28" s="21" t="e">
        <f>'Historique GW'!#REF!</f>
        <v>#REF!</v>
      </c>
      <c r="I28" s="21" t="e">
        <f>'Historique GW'!#REF!</f>
        <v>#REF!</v>
      </c>
    </row>
    <row r="29" spans="1:9">
      <c r="A29" s="21">
        <f>'Historique GW'!A17</f>
        <v>25</v>
      </c>
      <c r="B29" s="21">
        <f>'Historique GW'!C17</f>
        <v>212</v>
      </c>
      <c r="C29" s="21">
        <f>'Historique GW'!D17</f>
        <v>262</v>
      </c>
      <c r="D29" s="21">
        <f>'Historique GW'!E17</f>
        <v>256</v>
      </c>
      <c r="E29" s="21">
        <f>'Historique GW'!F17</f>
        <v>231</v>
      </c>
      <c r="F29" s="21">
        <f>'Historique GW'!G17</f>
        <v>173</v>
      </c>
      <c r="G29" s="21">
        <f>'Historique GW'!H17</f>
        <v>162</v>
      </c>
      <c r="H29" s="21" t="e">
        <f>'Historique GW'!#REF!</f>
        <v>#REF!</v>
      </c>
      <c r="I29" s="21" t="e">
        <f>'Historique GW'!#REF!</f>
        <v>#REF!</v>
      </c>
    </row>
    <row r="30" spans="1:9">
      <c r="A30" s="21">
        <f>'Historique GW'!A18</f>
        <v>29</v>
      </c>
      <c r="B30" s="21">
        <f>'Historique GW'!C18</f>
        <v>217</v>
      </c>
      <c r="C30" s="21">
        <f>'Historique GW'!D18</f>
        <v>274</v>
      </c>
      <c r="D30" s="21">
        <f>'Historique GW'!E18</f>
        <v>273</v>
      </c>
      <c r="E30" s="21">
        <f>'Historique GW'!F18</f>
        <v>238</v>
      </c>
      <c r="F30" s="21">
        <f>'Historique GW'!G18</f>
        <v>180</v>
      </c>
      <c r="G30" s="21">
        <f>'Historique GW'!H18</f>
        <v>164</v>
      </c>
      <c r="H30" s="21" t="e">
        <f>'Historique GW'!#REF!</f>
        <v>#REF!</v>
      </c>
      <c r="I30" s="21" t="e">
        <f>'Historique GW'!#REF!</f>
        <v>#REF!</v>
      </c>
    </row>
    <row r="31" spans="1:9">
      <c r="A31" s="21">
        <f>'Historique GW'!A19</f>
        <v>31</v>
      </c>
      <c r="B31" s="21">
        <f>'Historique GW'!C19</f>
        <v>222</v>
      </c>
      <c r="C31" s="21">
        <f>'Historique GW'!D19</f>
        <v>285</v>
      </c>
      <c r="D31" s="21">
        <f>'Historique GW'!E19</f>
        <v>282</v>
      </c>
      <c r="E31" s="21">
        <f>'Historique GW'!F19</f>
        <v>242</v>
      </c>
      <c r="F31" s="21">
        <f>'Historique GW'!G19</f>
        <v>184</v>
      </c>
      <c r="G31" s="21">
        <f>'Historique GW'!H19</f>
        <v>168</v>
      </c>
      <c r="H31" s="21" t="e">
        <f>'Historique GW'!#REF!</f>
        <v>#REF!</v>
      </c>
      <c r="I31" s="21" t="e">
        <f>'Historique GW'!#REF!</f>
        <v>#REF!</v>
      </c>
    </row>
    <row r="32" spans="1:9">
      <c r="A32" s="21">
        <f>'Historique GW'!A20</f>
        <v>33</v>
      </c>
      <c r="B32" s="21">
        <f>'Historique GW'!C20</f>
        <v>226</v>
      </c>
      <c r="C32" s="21">
        <f>'Historique GW'!D20</f>
        <v>294</v>
      </c>
      <c r="D32" s="21">
        <f>'Historique GW'!E20</f>
        <v>285</v>
      </c>
      <c r="E32" s="21">
        <f>'Historique GW'!F20</f>
        <v>241</v>
      </c>
      <c r="F32" s="21">
        <f>'Historique GW'!G20</f>
        <v>185</v>
      </c>
      <c r="G32" s="21">
        <f>'Historique GW'!H20</f>
        <v>165</v>
      </c>
      <c r="H32" s="21" t="e">
        <f>'Historique GW'!#REF!</f>
        <v>#REF!</v>
      </c>
      <c r="I32" s="21" t="e">
        <f>'Historique GW'!#REF!</f>
        <v>#REF!</v>
      </c>
    </row>
    <row r="35" spans="1:2">
      <c r="A35" s="18" t="s">
        <v>17</v>
      </c>
      <c r="B35" s="21"/>
    </row>
    <row r="36" spans="1:2">
      <c r="A36" s="21" t="s">
        <v>7</v>
      </c>
      <c r="B36" s="21">
        <f t="shared" ref="B36:B43" si="2">D6</f>
        <v>49.203187250996017</v>
      </c>
    </row>
    <row r="37" spans="1:2">
      <c r="A37" s="21" t="s">
        <v>8</v>
      </c>
      <c r="B37" s="21">
        <f t="shared" si="2"/>
        <v>49.386503067484661</v>
      </c>
    </row>
    <row r="38" spans="1:2">
      <c r="A38" s="21" t="s">
        <v>9</v>
      </c>
      <c r="B38" s="21">
        <f t="shared" si="2"/>
        <v>42.845117845117848</v>
      </c>
    </row>
    <row r="39" spans="1:2">
      <c r="A39" s="21" t="s">
        <v>10</v>
      </c>
      <c r="B39" s="21">
        <f t="shared" si="2"/>
        <v>45.238095238095241</v>
      </c>
    </row>
    <row r="40" spans="1:2">
      <c r="A40" s="21" t="s">
        <v>11</v>
      </c>
      <c r="B40" s="21">
        <f t="shared" si="2"/>
        <v>34.375</v>
      </c>
    </row>
    <row r="41" spans="1:2">
      <c r="A41" s="21" t="s">
        <v>12</v>
      </c>
      <c r="B41" s="21">
        <f t="shared" si="2"/>
        <v>27.659574468085108</v>
      </c>
    </row>
    <row r="42" spans="1:2">
      <c r="A42" s="21" t="s">
        <v>13</v>
      </c>
      <c r="B42" s="21" t="e">
        <f t="shared" si="2"/>
        <v>#REF!</v>
      </c>
    </row>
    <row r="43" spans="1:2">
      <c r="A43" s="21" t="s">
        <v>14</v>
      </c>
      <c r="B43" s="21" t="e">
        <f t="shared" si="2"/>
        <v>#REF!</v>
      </c>
    </row>
  </sheetData>
  <mergeCells count="1">
    <mergeCell ref="A1:L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workbookViewId="0">
      <selection activeCell="I1" sqref="I1:J1048576"/>
    </sheetView>
  </sheetViews>
  <sheetFormatPr defaultColWidth="8.7109375" defaultRowHeight="15" customHeight="1"/>
  <cols>
    <col min="1" max="1" width="18" customWidth="1"/>
    <col min="2" max="12" width="14" customWidth="1"/>
  </cols>
  <sheetData>
    <row r="1" spans="1:11" ht="18.75">
      <c r="A1" s="25" t="s">
        <v>18</v>
      </c>
      <c r="B1" s="24"/>
      <c r="C1" s="24"/>
      <c r="D1" s="24"/>
      <c r="E1" s="24"/>
      <c r="F1" s="24"/>
      <c r="G1" s="24"/>
      <c r="H1" s="24"/>
      <c r="I1" s="24"/>
      <c r="J1" s="21"/>
      <c r="K1" s="21"/>
    </row>
    <row r="3" spans="1:11">
      <c r="A3" s="1" t="s">
        <v>19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5" spans="1:11" ht="30.75">
      <c r="A5" s="2" t="s">
        <v>16</v>
      </c>
      <c r="B5" s="2" t="s">
        <v>20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16</v>
      </c>
      <c r="J5" s="21"/>
      <c r="K5" s="21"/>
    </row>
    <row r="6" spans="1:11">
      <c r="A6" s="8">
        <v>1</v>
      </c>
      <c r="B6" s="22">
        <v>46249</v>
      </c>
      <c r="C6" s="10">
        <v>67</v>
      </c>
      <c r="D6" s="10">
        <v>103</v>
      </c>
      <c r="E6" s="10">
        <v>83</v>
      </c>
      <c r="F6" s="10"/>
      <c r="G6" s="10">
        <v>97</v>
      </c>
      <c r="H6" s="10">
        <v>113</v>
      </c>
      <c r="I6" s="8">
        <v>1</v>
      </c>
      <c r="J6" s="21"/>
      <c r="K6" s="21"/>
    </row>
    <row r="7" spans="1:11">
      <c r="A7" s="8">
        <v>3</v>
      </c>
      <c r="B7" s="22">
        <v>46256</v>
      </c>
      <c r="C7" s="10">
        <v>118</v>
      </c>
      <c r="D7" s="10">
        <v>155</v>
      </c>
      <c r="E7" s="10">
        <v>146</v>
      </c>
      <c r="F7" s="10">
        <v>75</v>
      </c>
      <c r="G7" s="10">
        <v>80</v>
      </c>
      <c r="H7" s="10">
        <v>75</v>
      </c>
      <c r="I7" s="8">
        <v>3</v>
      </c>
      <c r="J7" s="21"/>
      <c r="K7" s="21"/>
    </row>
    <row r="8" spans="1:11">
      <c r="A8" s="8">
        <v>5</v>
      </c>
      <c r="B8" s="22">
        <v>46263</v>
      </c>
      <c r="C8" s="10">
        <v>122</v>
      </c>
      <c r="D8" s="10">
        <v>168</v>
      </c>
      <c r="E8" s="10">
        <v>156</v>
      </c>
      <c r="F8" s="10">
        <v>135</v>
      </c>
      <c r="G8" s="10">
        <v>99</v>
      </c>
      <c r="H8" s="10">
        <v>137</v>
      </c>
      <c r="I8" s="8">
        <v>5</v>
      </c>
      <c r="J8" s="21"/>
      <c r="K8" s="21"/>
    </row>
    <row r="9" spans="1:11">
      <c r="A9" s="8">
        <v>9</v>
      </c>
      <c r="B9" s="22">
        <v>46277</v>
      </c>
      <c r="C9" s="10">
        <v>148</v>
      </c>
      <c r="D9" s="10">
        <v>185</v>
      </c>
      <c r="E9" s="10">
        <v>189</v>
      </c>
      <c r="F9" s="10">
        <v>157</v>
      </c>
      <c r="G9" s="10">
        <v>121</v>
      </c>
      <c r="H9" s="10">
        <v>147</v>
      </c>
      <c r="I9" s="8">
        <v>9</v>
      </c>
      <c r="J9" s="21"/>
      <c r="K9" s="21"/>
    </row>
    <row r="10" spans="1:11">
      <c r="A10" s="8">
        <v>11</v>
      </c>
      <c r="B10" s="22">
        <v>46284</v>
      </c>
      <c r="C10" s="10">
        <v>162</v>
      </c>
      <c r="D10" s="10">
        <v>205</v>
      </c>
      <c r="E10" s="10">
        <v>197</v>
      </c>
      <c r="F10" s="10">
        <v>169</v>
      </c>
      <c r="G10" s="10">
        <v>127</v>
      </c>
      <c r="H10" s="10">
        <v>144</v>
      </c>
      <c r="I10" s="8">
        <v>11</v>
      </c>
      <c r="J10" s="21"/>
      <c r="K10" s="21"/>
    </row>
    <row r="11" spans="1:11">
      <c r="A11" s="8">
        <v>13</v>
      </c>
      <c r="B11" s="22">
        <v>46291</v>
      </c>
      <c r="C11" s="10">
        <v>184</v>
      </c>
      <c r="D11" s="10">
        <v>223</v>
      </c>
      <c r="E11" s="10">
        <v>224</v>
      </c>
      <c r="F11" s="10">
        <v>189</v>
      </c>
      <c r="G11" s="10">
        <v>141</v>
      </c>
      <c r="H11" s="10">
        <v>145</v>
      </c>
      <c r="I11" s="8">
        <v>13</v>
      </c>
      <c r="J11" s="21"/>
      <c r="K11" s="21"/>
    </row>
    <row r="12" spans="1:11">
      <c r="A12" s="8">
        <v>15</v>
      </c>
      <c r="B12" s="22">
        <v>46298</v>
      </c>
      <c r="C12" s="10">
        <v>188</v>
      </c>
      <c r="D12" s="10">
        <v>230</v>
      </c>
      <c r="E12" s="10">
        <v>230</v>
      </c>
      <c r="F12" s="10">
        <v>196</v>
      </c>
      <c r="G12" s="10">
        <v>148</v>
      </c>
      <c r="H12" s="10">
        <v>145</v>
      </c>
      <c r="I12" s="8">
        <v>15</v>
      </c>
      <c r="J12" s="21"/>
      <c r="K12" s="21"/>
    </row>
    <row r="13" spans="1:11">
      <c r="A13" s="8">
        <v>19</v>
      </c>
      <c r="B13" s="22">
        <v>46312</v>
      </c>
      <c r="C13" s="10">
        <v>202</v>
      </c>
      <c r="D13" s="10">
        <v>239</v>
      </c>
      <c r="E13" s="10">
        <v>259</v>
      </c>
      <c r="F13" s="10">
        <v>211</v>
      </c>
      <c r="G13" s="10">
        <v>155</v>
      </c>
      <c r="H13" s="10">
        <v>154</v>
      </c>
      <c r="I13" s="8">
        <v>19</v>
      </c>
      <c r="J13" s="21"/>
      <c r="K13" s="21"/>
    </row>
    <row r="14" spans="1:11">
      <c r="A14" s="8">
        <v>21</v>
      </c>
      <c r="B14" s="22">
        <v>46319</v>
      </c>
      <c r="C14" s="10">
        <v>210</v>
      </c>
      <c r="D14" s="10">
        <v>248</v>
      </c>
      <c r="E14" s="10">
        <v>251</v>
      </c>
      <c r="F14" s="10">
        <v>213</v>
      </c>
      <c r="G14" s="10">
        <v>154</v>
      </c>
      <c r="H14" s="10">
        <v>155</v>
      </c>
      <c r="I14" s="8">
        <v>21</v>
      </c>
      <c r="J14" s="21"/>
      <c r="K14" s="21"/>
    </row>
    <row r="15" spans="1:11">
      <c r="A15" s="8">
        <v>22</v>
      </c>
      <c r="B15" s="22">
        <v>46323</v>
      </c>
      <c r="C15" s="10">
        <v>201</v>
      </c>
      <c r="D15" s="10"/>
      <c r="E15" s="10"/>
      <c r="F15" s="10"/>
      <c r="G15" s="10"/>
      <c r="H15" s="10"/>
      <c r="I15" s="8">
        <v>22</v>
      </c>
      <c r="J15" s="21"/>
      <c r="K15" s="21"/>
    </row>
    <row r="16" spans="1:11">
      <c r="A16" s="8">
        <v>23</v>
      </c>
      <c r="B16" s="22">
        <v>46326</v>
      </c>
      <c r="C16" s="10">
        <v>205</v>
      </c>
      <c r="D16" s="10">
        <v>256</v>
      </c>
      <c r="E16" s="10">
        <v>255</v>
      </c>
      <c r="F16" s="10">
        <v>215</v>
      </c>
      <c r="G16" s="10">
        <v>160</v>
      </c>
      <c r="H16" s="10">
        <v>154</v>
      </c>
      <c r="I16" s="8">
        <v>23</v>
      </c>
      <c r="J16" s="21"/>
      <c r="K16" s="21"/>
    </row>
    <row r="17" spans="1:11">
      <c r="A17" s="8">
        <v>25</v>
      </c>
      <c r="B17" s="22">
        <v>46333</v>
      </c>
      <c r="C17" s="10">
        <v>212</v>
      </c>
      <c r="D17" s="10">
        <v>262</v>
      </c>
      <c r="E17" s="10">
        <v>256</v>
      </c>
      <c r="F17" s="10">
        <v>231</v>
      </c>
      <c r="G17" s="10">
        <v>173</v>
      </c>
      <c r="H17" s="10">
        <v>162</v>
      </c>
      <c r="I17" s="8">
        <v>25</v>
      </c>
      <c r="J17" s="21"/>
      <c r="K17" s="21"/>
    </row>
    <row r="18" spans="1:11">
      <c r="A18" s="8">
        <v>29</v>
      </c>
      <c r="B18" s="22">
        <v>46347</v>
      </c>
      <c r="C18" s="10">
        <v>217</v>
      </c>
      <c r="D18" s="10">
        <v>274</v>
      </c>
      <c r="E18" s="10">
        <v>273</v>
      </c>
      <c r="F18" s="10">
        <v>238</v>
      </c>
      <c r="G18" s="10">
        <v>180</v>
      </c>
      <c r="H18" s="10">
        <v>164</v>
      </c>
      <c r="I18" s="8">
        <v>29</v>
      </c>
      <c r="J18" s="21"/>
      <c r="K18" s="21"/>
    </row>
    <row r="19" spans="1:11">
      <c r="A19" s="8">
        <v>31</v>
      </c>
      <c r="B19" s="22">
        <v>46354</v>
      </c>
      <c r="C19" s="10">
        <v>222</v>
      </c>
      <c r="D19" s="10">
        <v>285</v>
      </c>
      <c r="E19" s="10">
        <v>282</v>
      </c>
      <c r="F19" s="10">
        <v>242</v>
      </c>
      <c r="G19" s="10">
        <v>184</v>
      </c>
      <c r="H19" s="10">
        <v>168</v>
      </c>
      <c r="I19" s="8">
        <v>31</v>
      </c>
      <c r="J19" s="21"/>
      <c r="K19" s="21"/>
    </row>
    <row r="20" spans="1:11">
      <c r="A20" s="8">
        <v>33</v>
      </c>
      <c r="B20" s="22">
        <v>46361</v>
      </c>
      <c r="C20" s="10">
        <v>226</v>
      </c>
      <c r="D20" s="10">
        <v>294</v>
      </c>
      <c r="E20" s="10">
        <v>285</v>
      </c>
      <c r="F20" s="10">
        <v>241</v>
      </c>
      <c r="G20" s="10">
        <v>185</v>
      </c>
      <c r="H20" s="10">
        <v>165</v>
      </c>
      <c r="I20" s="8">
        <v>33</v>
      </c>
      <c r="J20" s="21"/>
      <c r="K20" s="21"/>
    </row>
    <row r="21" spans="1:11">
      <c r="A21" s="8">
        <v>35</v>
      </c>
      <c r="B21" s="22">
        <v>46368</v>
      </c>
      <c r="C21" s="10">
        <v>234</v>
      </c>
      <c r="D21" s="10">
        <v>300</v>
      </c>
      <c r="E21" s="10">
        <v>272</v>
      </c>
      <c r="F21" s="10">
        <v>247</v>
      </c>
      <c r="G21" s="10">
        <v>165</v>
      </c>
      <c r="H21" s="10">
        <v>171</v>
      </c>
      <c r="I21" s="8">
        <v>35</v>
      </c>
      <c r="J21" s="21"/>
      <c r="K21" s="21"/>
    </row>
    <row r="22" spans="1:11">
      <c r="A22" s="8">
        <v>41</v>
      </c>
      <c r="B22" s="22">
        <v>46024</v>
      </c>
      <c r="C22" s="10">
        <v>233</v>
      </c>
      <c r="D22" s="10">
        <v>302</v>
      </c>
      <c r="E22" s="10">
        <v>286</v>
      </c>
      <c r="F22" s="10"/>
      <c r="G22" s="10">
        <v>194</v>
      </c>
      <c r="H22" s="10"/>
      <c r="I22" s="8">
        <v>41</v>
      </c>
      <c r="J22" s="21"/>
      <c r="K22" s="21"/>
    </row>
    <row r="23" spans="1:11">
      <c r="A23" s="8">
        <v>45</v>
      </c>
      <c r="B23" s="22">
        <v>46038</v>
      </c>
      <c r="C23" s="10">
        <v>248</v>
      </c>
      <c r="D23" s="10">
        <v>325</v>
      </c>
      <c r="E23" s="10">
        <v>288</v>
      </c>
      <c r="F23" s="10">
        <v>272</v>
      </c>
      <c r="G23" s="10">
        <v>218</v>
      </c>
      <c r="H23" s="10">
        <v>189</v>
      </c>
      <c r="I23" s="8">
        <v>45</v>
      </c>
      <c r="J23" s="21"/>
      <c r="K23" s="21"/>
    </row>
    <row r="24" spans="1:11">
      <c r="A24" s="8">
        <v>47</v>
      </c>
      <c r="B24" s="22">
        <v>23</v>
      </c>
      <c r="C24" s="10">
        <v>251</v>
      </c>
      <c r="D24" s="10">
        <v>326</v>
      </c>
      <c r="E24" s="10">
        <v>297</v>
      </c>
      <c r="F24" s="10">
        <v>273</v>
      </c>
      <c r="G24" s="10">
        <v>192</v>
      </c>
      <c r="H24" s="10">
        <v>188</v>
      </c>
      <c r="I24" s="8">
        <v>47</v>
      </c>
      <c r="J24" s="21"/>
      <c r="K24" s="21"/>
    </row>
    <row r="25" spans="1:11">
      <c r="A25" s="8">
        <v>49</v>
      </c>
      <c r="B25" s="22">
        <v>46052</v>
      </c>
      <c r="C25" s="10"/>
      <c r="D25" s="10"/>
      <c r="E25" s="10"/>
      <c r="F25" s="10"/>
      <c r="G25" s="10"/>
      <c r="H25" s="10"/>
      <c r="I25" s="8">
        <v>49</v>
      </c>
      <c r="J25" s="21"/>
      <c r="K25" s="21"/>
    </row>
    <row r="26" spans="1:11">
      <c r="A26" s="8"/>
      <c r="B26" s="9"/>
      <c r="C26" s="10"/>
      <c r="D26" s="10"/>
      <c r="E26" s="10"/>
      <c r="F26" s="10"/>
      <c r="G26" s="10"/>
      <c r="H26" s="10"/>
      <c r="I26" s="21"/>
      <c r="J26" s="21"/>
      <c r="K26" s="21"/>
    </row>
    <row r="27" spans="1:11">
      <c r="A27" s="8"/>
      <c r="B27" s="22"/>
      <c r="C27" s="10"/>
      <c r="D27" s="10"/>
      <c r="E27" s="10"/>
      <c r="F27" s="10"/>
      <c r="G27" s="10"/>
      <c r="H27" s="10"/>
      <c r="I27" s="21"/>
      <c r="J27" s="21"/>
      <c r="K27" s="21"/>
    </row>
    <row r="28" spans="1:11">
      <c r="A28" s="8"/>
      <c r="B28" s="22"/>
      <c r="C28" s="10"/>
      <c r="D28" s="10"/>
      <c r="E28" s="10"/>
      <c r="F28" s="10"/>
      <c r="G28" s="10"/>
      <c r="H28" s="10"/>
      <c r="I28" s="21"/>
      <c r="J28" s="21"/>
      <c r="K28" s="21"/>
    </row>
    <row r="29" spans="1:11">
      <c r="A29" s="8"/>
      <c r="B29" s="22"/>
      <c r="C29" s="10"/>
      <c r="D29" s="10"/>
      <c r="E29" s="10"/>
      <c r="F29" s="10"/>
      <c r="G29" s="10"/>
      <c r="H29" s="10"/>
      <c r="I29" s="21"/>
      <c r="J29" s="21"/>
      <c r="K29" s="21"/>
    </row>
    <row r="30" spans="1:11">
      <c r="A30" s="8"/>
      <c r="B30" s="22"/>
      <c r="C30" s="10"/>
      <c r="D30" s="10"/>
      <c r="E30" s="10"/>
      <c r="F30" s="10"/>
      <c r="G30" s="10"/>
      <c r="H30" s="10"/>
      <c r="I30" s="21"/>
      <c r="J30" s="21"/>
      <c r="K30" s="21"/>
    </row>
    <row r="31" spans="1:11">
      <c r="A31" s="8"/>
      <c r="B31" s="22"/>
      <c r="C31" s="10"/>
      <c r="D31" s="10"/>
      <c r="E31" s="10"/>
      <c r="F31" s="10"/>
      <c r="G31" s="10"/>
      <c r="H31" s="10"/>
      <c r="I31" s="21"/>
      <c r="J31" s="21"/>
      <c r="K31" s="21"/>
    </row>
    <row r="32" spans="1:11">
      <c r="A32" s="8"/>
      <c r="B32" s="9"/>
      <c r="C32" s="10"/>
      <c r="D32" s="10"/>
      <c r="E32" s="10"/>
      <c r="F32" s="10"/>
      <c r="G32" s="10"/>
      <c r="H32" s="10"/>
      <c r="I32" s="21"/>
      <c r="J32" s="21"/>
      <c r="K32" s="21"/>
    </row>
    <row r="33" spans="1:11">
      <c r="A33" s="8"/>
      <c r="B33" s="9"/>
      <c r="C33" s="10"/>
      <c r="D33" s="10"/>
      <c r="E33" s="10"/>
      <c r="F33" s="10"/>
      <c r="G33" s="10"/>
      <c r="H33" s="10"/>
      <c r="I33" s="21"/>
      <c r="J33" s="21"/>
      <c r="K33" s="21"/>
    </row>
    <row r="34" spans="1:11">
      <c r="A34" s="8"/>
      <c r="B34" s="9"/>
      <c r="C34" s="10"/>
      <c r="D34" s="10"/>
      <c r="E34" s="10"/>
      <c r="F34" s="10"/>
      <c r="G34" s="10"/>
      <c r="H34" s="10"/>
      <c r="I34" s="21"/>
      <c r="J34" s="21"/>
      <c r="K34" s="21"/>
    </row>
    <row r="35" spans="1:11">
      <c r="A35" s="8"/>
      <c r="B35" s="9"/>
      <c r="C35" s="10"/>
      <c r="D35" s="10"/>
      <c r="E35" s="10"/>
      <c r="F35" s="10"/>
      <c r="G35" s="10"/>
      <c r="H35" s="10"/>
      <c r="I35" s="21"/>
      <c r="J35" s="21"/>
      <c r="K35" s="21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tabSelected="1" topLeftCell="A2" workbookViewId="0">
      <selection activeCell="H1" sqref="H1:I1048576"/>
    </sheetView>
  </sheetViews>
  <sheetFormatPr defaultColWidth="8.7109375" defaultRowHeight="15" customHeight="1"/>
  <cols>
    <col min="1" max="1" width="18" customWidth="1"/>
    <col min="2" max="7" width="14" customWidth="1"/>
    <col min="8" max="9" width="18.28515625" customWidth="1"/>
    <col min="10" max="12" width="14" customWidth="1"/>
  </cols>
  <sheetData>
    <row r="1" spans="1:11" ht="18.75">
      <c r="A1" s="25" t="s">
        <v>21</v>
      </c>
      <c r="B1" s="24"/>
      <c r="C1" s="24"/>
      <c r="D1" s="24"/>
      <c r="E1" s="24"/>
      <c r="F1" s="24"/>
      <c r="G1" s="24"/>
      <c r="H1" s="24"/>
      <c r="I1" s="24"/>
      <c r="J1" s="21"/>
      <c r="K1" s="21"/>
    </row>
    <row r="3" spans="1:11">
      <c r="A3" s="1" t="s">
        <v>22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5" spans="1:11" ht="30.75">
      <c r="A5" s="2" t="s">
        <v>16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1"/>
      <c r="J5" s="21"/>
      <c r="K5" s="21"/>
    </row>
    <row r="6" spans="1:11">
      <c r="A6" s="11">
        <f>'Historique GW'!A6</f>
        <v>1</v>
      </c>
      <c r="B6" s="12">
        <f>IF('Historique GW'!C6&gt;0,'Config Rewards'!$K$6/'Historique GW'!C6,"")</f>
        <v>184.32835820895522</v>
      </c>
      <c r="C6" s="12">
        <f>IF('Historique GW'!D6&gt;0,'Config Rewards'!$K$7/'Historique GW'!D6,"")</f>
        <v>156.3106796116505</v>
      </c>
      <c r="D6" s="12">
        <f>IF('Historique GW'!E6&gt;0,'Config Rewards'!$K$8/'Historique GW'!E6,"")</f>
        <v>153.31325301204819</v>
      </c>
      <c r="E6" s="12" t="str">
        <f>IF('Historique GW'!F6&gt;0,'Config Rewards'!$K$9/'Historique GW'!F6,"")</f>
        <v/>
      </c>
      <c r="F6" s="12">
        <f>IF('Historique GW'!G6&gt;0,'Config Rewards'!$K$10/'Historique GW'!G6,"")</f>
        <v>68.041237113402062</v>
      </c>
      <c r="G6" s="12"/>
      <c r="H6" s="13" t="str">
        <f>IF(B6&lt;&gt;"",INDEX($B$5:$G$5,MATCH(MAX(B6:G6),B6:G6,0)),"")</f>
        <v>EV Ligue 1</v>
      </c>
      <c r="I6" s="21"/>
      <c r="J6" s="21"/>
      <c r="K6" s="21"/>
    </row>
    <row r="7" spans="1:11">
      <c r="A7" s="11">
        <f>'Historique GW'!A7</f>
        <v>3</v>
      </c>
      <c r="B7" s="12">
        <f>IF('Historique GW'!C7&gt;0,'Config Rewards'!$K$6/'Historique GW'!C7,"")</f>
        <v>104.66101694915254</v>
      </c>
      <c r="C7" s="12">
        <f>IF('Historique GW'!D7&gt;0,'Config Rewards'!$K$7/'Historique GW'!D7,"")</f>
        <v>103.87096774193549</v>
      </c>
      <c r="D7" s="12">
        <f>IF('Historique GW'!E7&gt;0,'Config Rewards'!$K$8/'Historique GW'!E7,"")</f>
        <v>87.157534246575338</v>
      </c>
      <c r="E7" s="12">
        <f>IF('Historique GW'!F7&gt;0,'Config Rewards'!$K$9/'Historique GW'!F7,"")</f>
        <v>164.66666666666666</v>
      </c>
      <c r="F7" s="12">
        <f>IF('Historique GW'!G7&gt;0,'Config Rewards'!$K$10/'Historique GW'!G7,"")</f>
        <v>82.5</v>
      </c>
      <c r="G7" s="12">
        <f>IF('Historique GW'!H7&gt;0,'Config Rewards'!$K$11/'Historique GW'!H7,"")</f>
        <v>69.333333333333329</v>
      </c>
      <c r="H7" s="13" t="str">
        <f>IF(B7&lt;&gt;"",INDEX($B$5:$G$5,MATCH(MAX(B7:G7),B7:G7,0)),"")</f>
        <v>EV Bundesliga</v>
      </c>
      <c r="I7" s="21"/>
      <c r="J7" s="21"/>
      <c r="K7" s="21"/>
    </row>
    <row r="8" spans="1:11">
      <c r="A8" s="11">
        <f>'Historique GW'!A8</f>
        <v>5</v>
      </c>
      <c r="B8" s="12">
        <f>IF('Historique GW'!C8&gt;0,'Config Rewards'!$K$6/'Historique GW'!C8,"")</f>
        <v>101.22950819672131</v>
      </c>
      <c r="C8" s="12">
        <f>IF('Historique GW'!D8&gt;0,'Config Rewards'!$K$7/'Historique GW'!D8,"")</f>
        <v>95.833333333333329</v>
      </c>
      <c r="D8" s="12">
        <f>IF('Historique GW'!E8&gt;0,'Config Rewards'!$K$8/'Historique GW'!E8,"")</f>
        <v>81.570512820512818</v>
      </c>
      <c r="E8" s="12">
        <f>IF('Historique GW'!F8&gt;0,'Config Rewards'!$K$9/'Historique GW'!F8,"")</f>
        <v>91.481481481481481</v>
      </c>
      <c r="F8" s="12">
        <f>IF('Historique GW'!G8&gt;0,'Config Rewards'!$K$10/'Historique GW'!G8,"")</f>
        <v>66.666666666666671</v>
      </c>
      <c r="G8" s="12">
        <f>IF('Historique GW'!H8&gt;0,'Config Rewards'!$K$11/'Historique GW'!H8,"")</f>
        <v>37.956204379562045</v>
      </c>
      <c r="H8" s="13" t="str">
        <f>IF(B8&lt;&gt;"",INDEX($B$5:$G$5,MATCH(MAX(B8:G8),B8:G8,0)),"")</f>
        <v>EV Ligue 1</v>
      </c>
      <c r="I8" s="21"/>
      <c r="J8" s="21"/>
      <c r="K8" s="21"/>
    </row>
    <row r="9" spans="1:11">
      <c r="A9" s="11">
        <f>'Historique GW'!A9</f>
        <v>9</v>
      </c>
      <c r="B9" s="12">
        <f>IF('Historique GW'!C9&gt;0,'Config Rewards'!$K$6/'Historique GW'!C9,"")</f>
        <v>83.445945945945951</v>
      </c>
      <c r="C9" s="12">
        <f>IF('Historique GW'!D9&gt;0,'Config Rewards'!$K$7/'Historique GW'!D9,"")</f>
        <v>87.027027027027032</v>
      </c>
      <c r="D9" s="12">
        <f>IF('Historique GW'!E9&gt;0,'Config Rewards'!$K$8/'Historique GW'!E9,"")</f>
        <v>67.328042328042329</v>
      </c>
      <c r="E9" s="12">
        <f>IF('Historique GW'!F9&gt;0,'Config Rewards'!$K$9/'Historique GW'!F9,"")</f>
        <v>78.662420382165607</v>
      </c>
      <c r="F9" s="12">
        <f>IF('Historique GW'!G9&gt;0,'Config Rewards'!$K$10/'Historique GW'!G9,"")</f>
        <v>54.545454545454547</v>
      </c>
      <c r="G9" s="12">
        <f>IF('Historique GW'!H9&gt;0,'Config Rewards'!$K$11/'Historique GW'!H9,"")</f>
        <v>35.374149659863946</v>
      </c>
      <c r="H9" s="13" t="str">
        <f>IF(B9&lt;&gt;"",INDEX($B$5:$G$5,MATCH(MAX(B9:G9),B9:G9,0)),"")</f>
        <v>EV Premier League</v>
      </c>
      <c r="I9" s="21"/>
      <c r="J9" s="21"/>
      <c r="K9" s="21"/>
    </row>
    <row r="10" spans="1:11">
      <c r="A10" s="11">
        <f>'Historique GW'!A10</f>
        <v>11</v>
      </c>
      <c r="B10" s="12">
        <f>IF('Historique GW'!C10&gt;0,'Config Rewards'!$K$6/'Historique GW'!C10,"")</f>
        <v>76.23456790123457</v>
      </c>
      <c r="C10" s="12">
        <f>IF('Historique GW'!D10&gt;0,'Config Rewards'!$K$7/'Historique GW'!D10,"")</f>
        <v>78.536585365853654</v>
      </c>
      <c r="D10" s="12">
        <f>IF('Historique GW'!E10&gt;0,'Config Rewards'!$K$8/'Historique GW'!E10,"")</f>
        <v>64.593908629441628</v>
      </c>
      <c r="E10" s="12">
        <f>IF('Historique GW'!F10&gt;0,'Config Rewards'!$K$9/'Historique GW'!F10,"")</f>
        <v>73.07692307692308</v>
      </c>
      <c r="F10" s="12">
        <f>IF('Historique GW'!G10&gt;0,'Config Rewards'!$K$10/'Historique GW'!G10,"")</f>
        <v>51.968503937007874</v>
      </c>
      <c r="G10" s="12">
        <f>IF('Historique GW'!H10&gt;0,'Config Rewards'!$K$11/'Historique GW'!H10,"")</f>
        <v>36.111111111111114</v>
      </c>
      <c r="H10" s="13" t="str">
        <f>IF(B10&lt;&gt;"",INDEX($B$5:$G$5,MATCH(MAX(B10:G10),B10:G10,0)),"")</f>
        <v>EV Premier League</v>
      </c>
      <c r="I10" s="21"/>
      <c r="J10" s="21"/>
      <c r="K10" s="21"/>
    </row>
    <row r="11" spans="1:11">
      <c r="A11" s="11">
        <f>'Historique GW'!A11</f>
        <v>13</v>
      </c>
      <c r="B11" s="12">
        <f>IF('Historique GW'!C11&gt;0,'Config Rewards'!$K$6/'Historique GW'!C11,"")</f>
        <v>67.119565217391298</v>
      </c>
      <c r="C11" s="12">
        <f>IF('Historique GW'!D11&gt;0,'Config Rewards'!$K$7/'Historique GW'!D11,"")</f>
        <v>72.197309417040358</v>
      </c>
      <c r="D11" s="12">
        <f>IF('Historique GW'!E11&gt;0,'Config Rewards'!$K$8/'Historique GW'!E11,"")</f>
        <v>56.808035714285715</v>
      </c>
      <c r="E11" s="12">
        <f>IF('Historique GW'!F11&gt;0,'Config Rewards'!$K$9/'Historique GW'!F11,"")</f>
        <v>65.343915343915342</v>
      </c>
      <c r="F11" s="12">
        <f>IF('Historique GW'!G11&gt;0,'Config Rewards'!$K$10/'Historique GW'!G11,"")</f>
        <v>46.808510638297875</v>
      </c>
      <c r="G11" s="12">
        <f>IF('Historique GW'!H11&gt;0,'Config Rewards'!$K$11/'Historique GW'!H11,"")</f>
        <v>35.862068965517238</v>
      </c>
      <c r="H11" s="13" t="str">
        <f>IF(B11&lt;&gt;"",INDEX($B$5:$G$5,MATCH(MAX(B11:G11),B11:G11,0)),"")</f>
        <v>EV Premier League</v>
      </c>
      <c r="I11" s="21"/>
      <c r="J11" s="21"/>
      <c r="K11" s="21"/>
    </row>
    <row r="12" spans="1:11">
      <c r="A12" s="11">
        <f>'Historique GW'!A12</f>
        <v>15</v>
      </c>
      <c r="B12" s="12">
        <f>IF('Historique GW'!C12&gt;0,'Config Rewards'!$K$6/'Historique GW'!C12,"")</f>
        <v>65.691489361702125</v>
      </c>
      <c r="C12" s="12">
        <f>IF('Historique GW'!D12&gt;0,'Config Rewards'!$K$7/'Historique GW'!D12,"")</f>
        <v>70</v>
      </c>
      <c r="D12" s="12">
        <f>IF('Historique GW'!E12&gt;0,'Config Rewards'!$K$8/'Historique GW'!E12,"")</f>
        <v>55.326086956521742</v>
      </c>
      <c r="E12" s="12">
        <f>IF('Historique GW'!F12&gt;0,'Config Rewards'!$K$9/'Historique GW'!F12,"")</f>
        <v>63.010204081632651</v>
      </c>
      <c r="F12" s="12">
        <f>IF('Historique GW'!G12&gt;0,'Config Rewards'!$K$10/'Historique GW'!G12,"")</f>
        <v>44.594594594594597</v>
      </c>
      <c r="G12" s="12">
        <f>IF('Historique GW'!H12&gt;0,'Config Rewards'!$K$11/'Historique GW'!H12,"")</f>
        <v>35.862068965517238</v>
      </c>
      <c r="H12" s="13" t="str">
        <f>IF(B12&lt;&gt;"",INDEX($B$5:$G$5,MATCH(MAX(B12:G12),B12:G12,0)),"")</f>
        <v>EV Premier League</v>
      </c>
      <c r="I12" s="21"/>
      <c r="J12" s="21"/>
      <c r="K12" s="21"/>
    </row>
    <row r="13" spans="1:11">
      <c r="A13" s="11">
        <f>'Historique GW'!A13</f>
        <v>19</v>
      </c>
      <c r="B13" s="12">
        <f>IF('Historique GW'!C13&gt;0,'Config Rewards'!$K$6/'Historique GW'!C13,"")</f>
        <v>61.138613861386141</v>
      </c>
      <c r="C13" s="12">
        <f>IF('Historique GW'!D13&gt;0,'Config Rewards'!$K$7/'Historique GW'!D13,"")</f>
        <v>67.36401673640168</v>
      </c>
      <c r="D13" s="12">
        <f>IF('Historique GW'!E13&gt;0,'Config Rewards'!$K$8/'Historique GW'!E13,"")</f>
        <v>49.131274131274132</v>
      </c>
      <c r="E13" s="12">
        <f>IF('Historique GW'!F13&gt;0,'Config Rewards'!$K$9/'Historique GW'!F13,"")</f>
        <v>58.530805687203788</v>
      </c>
      <c r="F13" s="12">
        <f>IF('Historique GW'!G13&gt;0,'Config Rewards'!$K$10/'Historique GW'!G13,"")</f>
        <v>42.58064516129032</v>
      </c>
      <c r="G13" s="12">
        <f>IF('Historique GW'!H13&gt;0,'Config Rewards'!$K$11/'Historique GW'!H13,"")</f>
        <v>33.766233766233768</v>
      </c>
      <c r="H13" s="13" t="str">
        <f>IF(B13&lt;&gt;"",INDEX($B$5:$G$5,MATCH(MAX(B13:G13),B13:G13,0)),"")</f>
        <v>EV Premier League</v>
      </c>
      <c r="I13" s="21"/>
      <c r="J13" s="21"/>
      <c r="K13" s="21"/>
    </row>
    <row r="14" spans="1:11">
      <c r="A14" s="11">
        <f>'Historique GW'!A14</f>
        <v>21</v>
      </c>
      <c r="B14" s="12">
        <f>IF('Historique GW'!C14&gt;0,'Config Rewards'!$K$6/'Historique GW'!C14,"")</f>
        <v>58.80952380952381</v>
      </c>
      <c r="C14" s="12">
        <f>IF('Historique GW'!D14&gt;0,'Config Rewards'!$K$7/'Historique GW'!D14,"")</f>
        <v>64.91935483870968</v>
      </c>
      <c r="D14" s="12">
        <f>IF('Historique GW'!E14&gt;0,'Config Rewards'!$K$8/'Historique GW'!E14,"")</f>
        <v>50.697211155378483</v>
      </c>
      <c r="E14" s="12">
        <f>IF('Historique GW'!F14&gt;0,'Config Rewards'!$K$9/'Historique GW'!F14,"")</f>
        <v>57.981220657276992</v>
      </c>
      <c r="F14" s="12">
        <f>IF('Historique GW'!G14&gt;0,'Config Rewards'!$K$10/'Historique GW'!G14,"")</f>
        <v>42.857142857142854</v>
      </c>
      <c r="G14" s="12">
        <f>IF('Historique GW'!H14&gt;0,'Config Rewards'!$K$11/'Historique GW'!H14,"")</f>
        <v>33.548387096774192</v>
      </c>
      <c r="H14" s="13" t="str">
        <f>IF(B14&lt;&gt;"",INDEX($B$5:$G$5,MATCH(MAX(B14:G14),B14:G14,0)),"")</f>
        <v>EV Premier League</v>
      </c>
      <c r="I14" s="21"/>
      <c r="J14" s="21"/>
      <c r="K14" s="21"/>
    </row>
    <row r="15" spans="1:11">
      <c r="A15" s="11">
        <f>'Historique GW'!A15</f>
        <v>22</v>
      </c>
      <c r="B15" s="12">
        <f>IF('Historique GW'!C15&gt;0,'Config Rewards'!$K$6/'Historique GW'!C15,"")</f>
        <v>61.442786069651739</v>
      </c>
      <c r="C15" s="12" t="str">
        <f>IF('Historique GW'!D15&gt;0,'Config Rewards'!$K$7/'Historique GW'!D15,"")</f>
        <v/>
      </c>
      <c r="D15" s="12" t="str">
        <f>IF('Historique GW'!E15&gt;0,'Config Rewards'!$K$8/'Historique GW'!E15,"")</f>
        <v/>
      </c>
      <c r="E15" s="12" t="str">
        <f>IF('Historique GW'!F15&gt;0,'Config Rewards'!$K$9/'Historique GW'!F15,"")</f>
        <v/>
      </c>
      <c r="F15" s="12" t="str">
        <f>IF('Historique GW'!G15&gt;0,'Config Rewards'!$K$10/'Historique GW'!G15,"")</f>
        <v/>
      </c>
      <c r="G15" s="12" t="str">
        <f>IF('Historique GW'!H15&gt;0,'Config Rewards'!$K$11/'Historique GW'!H15,"")</f>
        <v/>
      </c>
      <c r="H15" s="13" t="str">
        <f>IF(B15&lt;&gt;"",INDEX($B$5:$G$5,MATCH(MAX(B15:G15),B15:G15,0)),"")</f>
        <v>EV Ligue 1</v>
      </c>
      <c r="I15" s="21"/>
      <c r="J15" s="21"/>
      <c r="K15" s="21"/>
    </row>
    <row r="16" spans="1:11">
      <c r="A16" s="11">
        <f>'Historique GW'!A16</f>
        <v>23</v>
      </c>
      <c r="B16" s="12">
        <f>IF('Historique GW'!C16&gt;0,'Config Rewards'!$K$6/'Historique GW'!C16,"")</f>
        <v>60.243902439024389</v>
      </c>
      <c r="C16" s="12">
        <f>IF('Historique GW'!D16&gt;0,'Config Rewards'!$K$7/'Historique GW'!D16,"")</f>
        <v>62.890625</v>
      </c>
      <c r="D16" s="12">
        <f>IF('Historique GW'!E16&gt;0,'Config Rewards'!$K$8/'Historique GW'!E16,"")</f>
        <v>49.901960784313722</v>
      </c>
      <c r="E16" s="12">
        <f>IF('Historique GW'!F16&gt;0,'Config Rewards'!$K$9/'Historique GW'!F16,"")</f>
        <v>57.441860465116278</v>
      </c>
      <c r="F16" s="12">
        <f>IF('Historique GW'!G16&gt;0,'Config Rewards'!$K$10/'Historique GW'!G16,"")</f>
        <v>41.25</v>
      </c>
      <c r="G16" s="12">
        <f>IF('Historique GW'!H16&gt;0,'Config Rewards'!$K$11/'Historique GW'!H16,"")</f>
        <v>33.766233766233768</v>
      </c>
      <c r="H16" s="13" t="str">
        <f>IF(B16&lt;&gt;"",INDEX($B$5:$G$5,MATCH(MAX(B16:G16),B16:G16,0)),"")</f>
        <v>EV Premier League</v>
      </c>
      <c r="I16" s="21"/>
      <c r="J16" s="21"/>
      <c r="K16" s="21"/>
    </row>
    <row r="17" spans="1:11">
      <c r="A17" s="11">
        <f>'Historique GW'!A17</f>
        <v>25</v>
      </c>
      <c r="B17" s="12">
        <f>IF('Historique GW'!C17&gt;0,'Config Rewards'!$K$6/'Historique GW'!C17,"")</f>
        <v>58.254716981132077</v>
      </c>
      <c r="C17" s="12">
        <f>IF('Historique GW'!D17&gt;0,'Config Rewards'!$K$7/'Historique GW'!D17,"")</f>
        <v>61.450381679389317</v>
      </c>
      <c r="D17" s="12">
        <f>IF('Historique GW'!E17&gt;0,'Config Rewards'!$K$8/'Historique GW'!E17,"")</f>
        <v>49.70703125</v>
      </c>
      <c r="E17" s="12">
        <f>IF('Historique GW'!F17&gt;0,'Config Rewards'!$K$9/'Historique GW'!F17,"")</f>
        <v>53.463203463203463</v>
      </c>
      <c r="F17" s="12">
        <f>IF('Historique GW'!G17&gt;0,'Config Rewards'!$K$10/'Historique GW'!G17,"")</f>
        <v>38.150289017341038</v>
      </c>
      <c r="G17" s="12">
        <f>IF('Historique GW'!H17&gt;0,'Config Rewards'!$K$11/'Historique GW'!H17,"")</f>
        <v>32.098765432098766</v>
      </c>
      <c r="H17" s="13" t="str">
        <f>IF(B17&lt;&gt;"",INDEX($B$5:$G$5,MATCH(MAX(B17:G17),B17:G17,0)),"")</f>
        <v>EV Premier League</v>
      </c>
      <c r="I17" s="21"/>
      <c r="J17" s="21"/>
      <c r="K17" s="21"/>
    </row>
    <row r="18" spans="1:11">
      <c r="A18" s="11">
        <f>'Historique GW'!A18</f>
        <v>29</v>
      </c>
      <c r="B18" s="12">
        <f>IF('Historique GW'!C18&gt;0,'Config Rewards'!$K$6/'Historique GW'!C18,"")</f>
        <v>56.912442396313367</v>
      </c>
      <c r="C18" s="12">
        <f>IF('Historique GW'!D18&gt;0,'Config Rewards'!$K$7/'Historique GW'!D18,"")</f>
        <v>58.759124087591239</v>
      </c>
      <c r="D18" s="12">
        <f>IF('Historique GW'!E18&gt;0,'Config Rewards'!$K$8/'Historique GW'!E18,"")</f>
        <v>46.611721611721613</v>
      </c>
      <c r="E18" s="12">
        <f>IF('Historique GW'!F18&gt;0,'Config Rewards'!$K$9/'Historique GW'!F18,"")</f>
        <v>51.890756302521005</v>
      </c>
      <c r="F18" s="12">
        <f>IF('Historique GW'!G18&gt;0,'Config Rewards'!$K$10/'Historique GW'!G18,"")</f>
        <v>36.666666666666664</v>
      </c>
      <c r="G18" s="12">
        <f>IF('Historique GW'!H18&gt;0,'Config Rewards'!$K$11/'Historique GW'!H18,"")</f>
        <v>31.707317073170731</v>
      </c>
      <c r="H18" s="13" t="str">
        <f>IF(B18&lt;&gt;"",INDEX($B$5:$G$5,MATCH(MAX(B18:G18),B18:G18,0)),"")</f>
        <v>EV Premier League</v>
      </c>
      <c r="I18" s="21"/>
      <c r="J18" s="21"/>
      <c r="K18" s="21"/>
    </row>
    <row r="19" spans="1:11">
      <c r="A19" s="11">
        <f>'Historique GW'!A19</f>
        <v>31</v>
      </c>
      <c r="B19" s="12">
        <f>IF('Historique GW'!C19&gt;0,'Config Rewards'!$K$6/'Historique GW'!C19,"")</f>
        <v>55.630630630630634</v>
      </c>
      <c r="C19" s="12">
        <f>IF('Historique GW'!D19&gt;0,'Config Rewards'!$K$7/'Historique GW'!D19,"")</f>
        <v>56.491228070175438</v>
      </c>
      <c r="D19" s="12">
        <f>IF('Historique GW'!E19&gt;0,'Config Rewards'!$K$8/'Historique GW'!E19,"")</f>
        <v>45.124113475177303</v>
      </c>
      <c r="E19" s="12">
        <f>IF('Historique GW'!F19&gt;0,'Config Rewards'!$K$9/'Historique GW'!F19,"")</f>
        <v>51.033057851239668</v>
      </c>
      <c r="F19" s="12">
        <f>IF('Historique GW'!G19&gt;0,'Config Rewards'!$K$10/'Historique GW'!G19,"")</f>
        <v>35.869565217391305</v>
      </c>
      <c r="G19" s="12">
        <f>IF('Historique GW'!H19&gt;0,'Config Rewards'!$K$11/'Historique GW'!H19,"")</f>
        <v>30.952380952380953</v>
      </c>
      <c r="H19" s="13" t="str">
        <f>IF(B19&lt;&gt;"",INDEX($B$5:$G$5,MATCH(MAX(B19:G19),B19:G19,0)),"")</f>
        <v>EV Premier League</v>
      </c>
      <c r="I19" s="21"/>
      <c r="J19" s="21"/>
      <c r="K19" s="21"/>
    </row>
    <row r="20" spans="1:11">
      <c r="A20" s="11">
        <f>'Historique GW'!A20</f>
        <v>33</v>
      </c>
      <c r="B20" s="12">
        <f>IF('Historique GW'!C20&gt;0,'Config Rewards'!$K$6/'Historique GW'!C20,"")</f>
        <v>54.646017699115042</v>
      </c>
      <c r="C20" s="12">
        <f>IF('Historique GW'!D20&gt;0,'Config Rewards'!$K$7/'Historique GW'!D20,"")</f>
        <v>54.761904761904759</v>
      </c>
      <c r="D20" s="12">
        <f>IF('Historique GW'!E20&gt;0,'Config Rewards'!$K$8/'Historique GW'!E20,"")</f>
        <v>44.649122807017541</v>
      </c>
      <c r="E20" s="12">
        <f>IF('Historique GW'!F20&gt;0,'Config Rewards'!$K$9/'Historique GW'!F20,"")</f>
        <v>51.244813278008301</v>
      </c>
      <c r="F20" s="12">
        <f>IF('Historique GW'!G20&gt;0,'Config Rewards'!$K$10/'Historique GW'!G20,"")</f>
        <v>35.675675675675677</v>
      </c>
      <c r="G20" s="12">
        <f>IF('Historique GW'!H20&gt;0,'Config Rewards'!$K$11/'Historique GW'!H20,"")</f>
        <v>31.515151515151516</v>
      </c>
      <c r="H20" s="13" t="str">
        <f>IF(B20&lt;&gt;"",INDEX($B$5:$G$5,MATCH(MAX(B20:G20),B20:G20,0)),"")</f>
        <v>EV Premier League</v>
      </c>
      <c r="I20" s="21"/>
      <c r="J20" s="21"/>
      <c r="K20" s="21"/>
    </row>
    <row r="21" spans="1:11">
      <c r="A21" s="11">
        <f>'Historique GW'!A21</f>
        <v>35</v>
      </c>
      <c r="B21" s="12">
        <f>IF('Historique GW'!C21&gt;0,'Config Rewards'!$K$6/'Historique GW'!C21,"")</f>
        <v>52.777777777777779</v>
      </c>
      <c r="C21" s="12">
        <f>IF('Historique GW'!D21&gt;0,'Config Rewards'!$K$7/'Historique GW'!D21,"")</f>
        <v>53.666666666666664</v>
      </c>
      <c r="D21" s="12">
        <f>IF('Historique GW'!E21&gt;0,'Config Rewards'!$K$8/'Historique GW'!E21,"")</f>
        <v>46.783088235294116</v>
      </c>
      <c r="E21" s="12">
        <f>IF('Historique GW'!F21&gt;0,'Config Rewards'!$K$9/'Historique GW'!F21,"")</f>
        <v>50</v>
      </c>
      <c r="F21" s="12">
        <f>IF('Historique GW'!G21&gt;0,'Config Rewards'!$K$10/'Historique GW'!G21,"")</f>
        <v>40</v>
      </c>
      <c r="G21" s="12">
        <f>IF('Historique GW'!H21&gt;0,'Config Rewards'!$K$11/'Historique GW'!H21,"")</f>
        <v>30.4093567251462</v>
      </c>
      <c r="H21" s="13" t="str">
        <f>IF(B21&lt;&gt;"",INDEX($B$5:$G$5,MATCH(MAX(B21:G21),B21:G21,0)),"")</f>
        <v>EV Premier League</v>
      </c>
      <c r="I21" s="21"/>
      <c r="J21" s="21"/>
      <c r="K21" s="21"/>
    </row>
    <row r="22" spans="1:11">
      <c r="A22" s="11">
        <f>'Historique GW'!A22</f>
        <v>41</v>
      </c>
      <c r="B22" s="12">
        <f>IF('Historique GW'!C22&gt;0,'Config Rewards'!$K$6/'Historique GW'!C22,"")</f>
        <v>53.004291845493562</v>
      </c>
      <c r="C22" s="12">
        <f>IF('Historique GW'!D22&gt;0,'Config Rewards'!$K$7/'Historique GW'!D22,"")</f>
        <v>53.311258278145694</v>
      </c>
      <c r="D22" s="12">
        <f>IF('Historique GW'!E22&gt;0,'Config Rewards'!$K$8/'Historique GW'!E22,"")</f>
        <v>44.493006993006993</v>
      </c>
      <c r="E22" s="12" t="str">
        <f>IF('Historique GW'!F22&gt;0,'Config Rewards'!$K$9/'Historique GW'!F22,"")</f>
        <v/>
      </c>
      <c r="F22" s="12">
        <f>IF('Historique GW'!G22&gt;0,'Config Rewards'!$K$10/'Historique GW'!G22,"")</f>
        <v>34.020618556701031</v>
      </c>
      <c r="G22" s="12" t="str">
        <f>IF('Historique GW'!H22&gt;0,'Config Rewards'!$K$11/'Historique GW'!H22,"")</f>
        <v/>
      </c>
      <c r="H22" s="13" t="str">
        <f>IF(B22&lt;&gt;"",INDEX($B$5:$G$5,MATCH(MAX(B22:G22),B22:G22,0)),"")</f>
        <v>EV Premier League</v>
      </c>
      <c r="I22" s="21"/>
      <c r="J22" s="21"/>
      <c r="K22" s="21"/>
    </row>
    <row r="23" spans="1:11">
      <c r="A23" s="11">
        <f>'Historique GW'!A23</f>
        <v>45</v>
      </c>
      <c r="B23" s="12">
        <f>IF('Historique GW'!C23&gt;0,'Config Rewards'!$K$6/'Historique GW'!C23,"")</f>
        <v>49.798387096774192</v>
      </c>
      <c r="C23" s="12">
        <f>IF('Historique GW'!D23&gt;0,'Config Rewards'!$K$7/'Historique GW'!D23,"")</f>
        <v>49.53846153846154</v>
      </c>
      <c r="D23" s="12">
        <f>IF('Historique GW'!E23&gt;0,'Config Rewards'!$K$8/'Historique GW'!E23,"")</f>
        <v>44.184027777777779</v>
      </c>
      <c r="E23" s="12">
        <f>IF('Historique GW'!F23&gt;0,'Config Rewards'!$K$9/'Historique GW'!F23,"")</f>
        <v>45.404411764705884</v>
      </c>
      <c r="F23" s="12">
        <f>IF('Historique GW'!G23&gt;0,'Config Rewards'!$K$10/'Historique GW'!G23,"")</f>
        <v>30.275229357798164</v>
      </c>
      <c r="G23" s="12">
        <f>IF('Historique GW'!H23&gt;0,'Config Rewards'!$K$11/'Historique GW'!H23,"")</f>
        <v>27.513227513227513</v>
      </c>
      <c r="H23" s="13" t="str">
        <f>IF(B23&lt;&gt;"",INDEX($B$5:$G$5,MATCH(MAX(B23:G23),B23:G23,0)),"")</f>
        <v>EV Ligue 1</v>
      </c>
      <c r="I23" s="21"/>
      <c r="J23" s="21"/>
      <c r="K23" s="21"/>
    </row>
    <row r="24" spans="1:11">
      <c r="A24" s="11">
        <f>'Historique GW'!A24</f>
        <v>47</v>
      </c>
      <c r="B24" s="12">
        <f>IF('Historique GW'!C24&gt;0,'Config Rewards'!$K$6/'Historique GW'!C24,"")</f>
        <v>49.203187250996017</v>
      </c>
      <c r="C24" s="12">
        <f>IF('Historique GW'!D24&gt;0,'Config Rewards'!$K$7/'Historique GW'!D24,"")</f>
        <v>49.386503067484661</v>
      </c>
      <c r="D24" s="12">
        <f>IF('Historique GW'!E24&gt;0,'Config Rewards'!$K$8/'Historique GW'!E24,"")</f>
        <v>42.845117845117848</v>
      </c>
      <c r="E24" s="12">
        <f>IF('Historique GW'!F24&gt;0,'Config Rewards'!$K$9/'Historique GW'!F24,"")</f>
        <v>45.238095238095241</v>
      </c>
      <c r="F24" s="12">
        <f>IF('Historique GW'!G24&gt;0,'Config Rewards'!$K$10/'Historique GW'!G24,"")</f>
        <v>34.375</v>
      </c>
      <c r="G24" s="12">
        <f>IF('Historique GW'!H24&gt;0,'Config Rewards'!$K$11/'Historique GW'!H24,"")</f>
        <v>27.659574468085108</v>
      </c>
      <c r="H24" s="13" t="str">
        <f>IF(B24&lt;&gt;"",INDEX($B$5:$G$5,MATCH(MAX(B24:G24),B24:G24,0)),"")</f>
        <v>EV Premier League</v>
      </c>
      <c r="I24" s="21"/>
      <c r="J24" s="21"/>
      <c r="K24" s="21"/>
    </row>
    <row r="25" spans="1:11">
      <c r="A25" s="11">
        <f>'Historique GW'!A25</f>
        <v>49</v>
      </c>
      <c r="B25" s="12" t="str">
        <f>IF('Historique GW'!C25&gt;0,'Config Rewards'!$K$6/'Historique GW'!C25,"")</f>
        <v/>
      </c>
      <c r="C25" s="12" t="str">
        <f>IF('Historique GW'!D25&gt;0,'Config Rewards'!$K$7/'Historique GW'!D25,"")</f>
        <v/>
      </c>
      <c r="D25" s="12" t="str">
        <f>IF('Historique GW'!E25&gt;0,'Config Rewards'!$K$8/'Historique GW'!E25,"")</f>
        <v/>
      </c>
      <c r="E25" s="12" t="str">
        <f>IF('Historique GW'!F25&gt;0,'Config Rewards'!$K$9/'Historique GW'!F25,"")</f>
        <v/>
      </c>
      <c r="F25" s="12" t="str">
        <f>IF('Historique GW'!G25&gt;0,'Config Rewards'!$K$10/'Historique GW'!G25,"")</f>
        <v/>
      </c>
      <c r="G25" s="12" t="str">
        <f>IF('Historique GW'!H25&gt;0,'Config Rewards'!$K$11/'Historique GW'!H25,"")</f>
        <v/>
      </c>
      <c r="H25" s="13" t="str">
        <f>IF(B25&lt;&gt;"",INDEX($B$5:$G$5,MATCH(MAX(B25:G25),B25:G25,0)),"")</f>
        <v/>
      </c>
      <c r="I25" s="21"/>
      <c r="J25" s="21"/>
      <c r="K25" s="21"/>
    </row>
    <row r="26" spans="1:11">
      <c r="A26" s="11">
        <f>'Historique GW'!A26</f>
        <v>0</v>
      </c>
      <c r="B26" s="12" t="str">
        <f>IF('Historique GW'!C26&gt;0,'Config Rewards'!$K$6/'Historique GW'!C26,"")</f>
        <v/>
      </c>
      <c r="C26" s="12" t="str">
        <f>IF('Historique GW'!D26&gt;0,'Config Rewards'!$K$7/'Historique GW'!D26,"")</f>
        <v/>
      </c>
      <c r="D26" s="12" t="str">
        <f>IF('Historique GW'!E26&gt;0,'Config Rewards'!$K$8/'Historique GW'!E26,"")</f>
        <v/>
      </c>
      <c r="E26" s="12" t="str">
        <f>IF('Historique GW'!F26&gt;0,'Config Rewards'!$K$9/'Historique GW'!F26,"")</f>
        <v/>
      </c>
      <c r="F26" s="12" t="str">
        <f>IF('Historique GW'!G26&gt;0,'Config Rewards'!$K$10/'Historique GW'!G26,"")</f>
        <v/>
      </c>
      <c r="G26" s="12" t="str">
        <f>IF('Historique GW'!H26&gt;0,'Config Rewards'!$K$11/'Historique GW'!H26,"")</f>
        <v/>
      </c>
      <c r="H26" s="13" t="str">
        <f>IF(B26&lt;&gt;"",INDEX($B$5:$G$5,MATCH(MAX(B26:G26),B26:G26,0)),"")</f>
        <v/>
      </c>
      <c r="I26" s="21"/>
      <c r="J26" s="21"/>
      <c r="K26" s="21"/>
    </row>
    <row r="27" spans="1:11">
      <c r="A27" s="11">
        <f>'Historique GW'!A27</f>
        <v>0</v>
      </c>
      <c r="B27" s="12" t="str">
        <f>IF('Historique GW'!C27&gt;0,'Config Rewards'!$K$6/'Historique GW'!C27,"")</f>
        <v/>
      </c>
      <c r="C27" s="12" t="str">
        <f>IF('Historique GW'!D27&gt;0,'Config Rewards'!$K$7/'Historique GW'!D27,"")</f>
        <v/>
      </c>
      <c r="D27" s="12" t="str">
        <f>IF('Historique GW'!E27&gt;0,'Config Rewards'!$K$8/'Historique GW'!E27,"")</f>
        <v/>
      </c>
      <c r="E27" s="12" t="str">
        <f>IF('Historique GW'!F27&gt;0,'Config Rewards'!$K$9/'Historique GW'!F27,"")</f>
        <v/>
      </c>
      <c r="F27" s="12" t="str">
        <f>IF('Historique GW'!G27&gt;0,'Config Rewards'!$K$10/'Historique GW'!G27,"")</f>
        <v/>
      </c>
      <c r="G27" s="12" t="str">
        <f>IF('Historique GW'!H27&gt;0,'Config Rewards'!$K$11/'Historique GW'!H27,"")</f>
        <v/>
      </c>
      <c r="H27" s="13" t="str">
        <f>IF(B27&lt;&gt;"",INDEX($B$5:$G$5,MATCH(MAX(B27:G27),B27:G27,0)),"")</f>
        <v/>
      </c>
      <c r="I27" s="21"/>
      <c r="J27" s="21"/>
      <c r="K27" s="21"/>
    </row>
    <row r="28" spans="1:11">
      <c r="A28" s="11">
        <f>'Historique GW'!A28</f>
        <v>0</v>
      </c>
      <c r="B28" s="12" t="str">
        <f>IF('Historique GW'!C28&gt;0,'Config Rewards'!$K$6/'Historique GW'!C28,"")</f>
        <v/>
      </c>
      <c r="C28" s="12" t="str">
        <f>IF('Historique GW'!D28&gt;0,'Config Rewards'!$K$7/'Historique GW'!D28,"")</f>
        <v/>
      </c>
      <c r="D28" s="12" t="str">
        <f>IF('Historique GW'!E28&gt;0,'Config Rewards'!$K$8/'Historique GW'!E28,"")</f>
        <v/>
      </c>
      <c r="E28" s="12" t="str">
        <f>IF('Historique GW'!F28&gt;0,'Config Rewards'!$K$9/'Historique GW'!F28,"")</f>
        <v/>
      </c>
      <c r="F28" s="12" t="str">
        <f>IF('Historique GW'!G28&gt;0,'Config Rewards'!$K$10/'Historique GW'!G28,"")</f>
        <v/>
      </c>
      <c r="G28" s="12" t="str">
        <f>IF('Historique GW'!H28&gt;0,'Config Rewards'!$K$11/'Historique GW'!H28,"")</f>
        <v/>
      </c>
      <c r="H28" s="13" t="str">
        <f>IF(B28&lt;&gt;"",INDEX($B$5:$G$5,MATCH(MAX(B28:G28),B28:G28,0)),"")</f>
        <v/>
      </c>
      <c r="I28" s="21"/>
      <c r="J28" s="21"/>
      <c r="K28" s="21"/>
    </row>
    <row r="29" spans="1:11">
      <c r="A29" s="11">
        <f>'Historique GW'!A29</f>
        <v>0</v>
      </c>
      <c r="B29" s="12" t="str">
        <f>IF('Historique GW'!C29&gt;0,'Config Rewards'!$K$6/'Historique GW'!C29,"")</f>
        <v/>
      </c>
      <c r="C29" s="12" t="str">
        <f>IF('Historique GW'!D29&gt;0,'Config Rewards'!$K$7/'Historique GW'!D29,"")</f>
        <v/>
      </c>
      <c r="D29" s="12" t="str">
        <f>IF('Historique GW'!E29&gt;0,'Config Rewards'!$K$8/'Historique GW'!E29,"")</f>
        <v/>
      </c>
      <c r="E29" s="12" t="str">
        <f>IF('Historique GW'!F29&gt;0,'Config Rewards'!$K$9/'Historique GW'!F29,"")</f>
        <v/>
      </c>
      <c r="F29" s="12" t="str">
        <f>IF('Historique GW'!G29&gt;0,'Config Rewards'!$K$10/'Historique GW'!G29,"")</f>
        <v/>
      </c>
      <c r="G29" s="12" t="str">
        <f>IF('Historique GW'!H29&gt;0,'Config Rewards'!$K$11/'Historique GW'!H29,"")</f>
        <v/>
      </c>
      <c r="H29" s="13" t="str">
        <f>IF(B29&lt;&gt;"",INDEX($B$5:$G$5,MATCH(MAX(B29:G29),B29:G29,0)),"")</f>
        <v/>
      </c>
      <c r="I29" s="21"/>
      <c r="J29" s="21"/>
      <c r="K29" s="21"/>
    </row>
    <row r="30" spans="1:11">
      <c r="A30" s="11">
        <f>'Historique GW'!A30</f>
        <v>0</v>
      </c>
      <c r="B30" s="12" t="str">
        <f>IF('Historique GW'!C30&gt;0,'Config Rewards'!$K$6/'Historique GW'!C30,"")</f>
        <v/>
      </c>
      <c r="C30" s="12" t="str">
        <f>IF('Historique GW'!D30&gt;0,'Config Rewards'!$K$7/'Historique GW'!D30,"")</f>
        <v/>
      </c>
      <c r="D30" s="12" t="str">
        <f>IF('Historique GW'!E30&gt;0,'Config Rewards'!$K$8/'Historique GW'!E30,"")</f>
        <v/>
      </c>
      <c r="E30" s="12" t="str">
        <f>IF('Historique GW'!F30&gt;0,'Config Rewards'!$K$9/'Historique GW'!F30,"")</f>
        <v/>
      </c>
      <c r="F30" s="12" t="str">
        <f>IF('Historique GW'!G30&gt;0,'Config Rewards'!$K$10/'Historique GW'!G30,"")</f>
        <v/>
      </c>
      <c r="G30" s="12" t="str">
        <f>IF('Historique GW'!H30&gt;0,'Config Rewards'!$K$11/'Historique GW'!H30,"")</f>
        <v/>
      </c>
      <c r="H30" s="13" t="str">
        <f>IF(B30&lt;&gt;"",INDEX($B$5:$G$5,MATCH(MAX(B30:G30),B30:G30,0)),"")</f>
        <v/>
      </c>
      <c r="I30" s="21"/>
      <c r="J30" s="21"/>
      <c r="K30" s="21"/>
    </row>
    <row r="31" spans="1:11">
      <c r="A31" s="11">
        <f>'Historique GW'!A31</f>
        <v>0</v>
      </c>
      <c r="B31" s="12" t="str">
        <f>IF('Historique GW'!C31&gt;0,'Config Rewards'!$K$6/'Historique GW'!C31,"")</f>
        <v/>
      </c>
      <c r="C31" s="12" t="str">
        <f>IF('Historique GW'!D31&gt;0,'Config Rewards'!$K$7/'Historique GW'!D31,"")</f>
        <v/>
      </c>
      <c r="D31" s="12" t="str">
        <f>IF('Historique GW'!E31&gt;0,'Config Rewards'!$K$8/'Historique GW'!E31,"")</f>
        <v/>
      </c>
      <c r="E31" s="12" t="str">
        <f>IF('Historique GW'!F31&gt;0,'Config Rewards'!$K$9/'Historique GW'!F31,"")</f>
        <v/>
      </c>
      <c r="F31" s="12" t="str">
        <f>IF('Historique GW'!G31&gt;0,'Config Rewards'!$K$10/'Historique GW'!G31,"")</f>
        <v/>
      </c>
      <c r="G31" s="12" t="str">
        <f>IF('Historique GW'!H31&gt;0,'Config Rewards'!$K$11/'Historique GW'!H31,"")</f>
        <v/>
      </c>
      <c r="H31" s="13" t="str">
        <f>IF(B31&lt;&gt;"",INDEX($B$5:$G$5,MATCH(MAX(B31:G31),B31:G31,0)),"")</f>
        <v/>
      </c>
      <c r="I31" s="21"/>
      <c r="J31" s="21"/>
      <c r="K31" s="21"/>
    </row>
    <row r="32" spans="1:11">
      <c r="A32" s="11">
        <f>'Historique GW'!A32</f>
        <v>0</v>
      </c>
      <c r="B32" s="12" t="str">
        <f>IF('Historique GW'!C32&gt;0,'Config Rewards'!$K$6/'Historique GW'!C32,"")</f>
        <v/>
      </c>
      <c r="C32" s="12" t="str">
        <f>IF('Historique GW'!D32&gt;0,'Config Rewards'!$K$7/'Historique GW'!D32,"")</f>
        <v/>
      </c>
      <c r="D32" s="12" t="str">
        <f>IF('Historique GW'!E32&gt;0,'Config Rewards'!$K$8/'Historique GW'!E32,"")</f>
        <v/>
      </c>
      <c r="E32" s="12" t="str">
        <f>IF('Historique GW'!F32&gt;0,'Config Rewards'!$K$9/'Historique GW'!F32,"")</f>
        <v/>
      </c>
      <c r="F32" s="12" t="str">
        <f>IF('Historique GW'!G32&gt;0,'Config Rewards'!$K$10/'Historique GW'!G32,"")</f>
        <v/>
      </c>
      <c r="G32" s="12" t="str">
        <f>IF('Historique GW'!H32&gt;0,'Config Rewards'!$K$11/'Historique GW'!H32,"")</f>
        <v/>
      </c>
      <c r="H32" s="13" t="str">
        <f>IF(B32&lt;&gt;"",INDEX($B$5:$G$5,MATCH(MAX(B32:G32),B32:G32,0)),"")</f>
        <v/>
      </c>
      <c r="I32" s="21"/>
      <c r="J32" s="21"/>
      <c r="K32" s="21"/>
    </row>
    <row r="33" spans="1:11">
      <c r="A33" s="11">
        <f>'Historique GW'!A33</f>
        <v>0</v>
      </c>
      <c r="B33" s="12" t="str">
        <f>IF('Historique GW'!C33&gt;0,'Config Rewards'!$K$6/'Historique GW'!C33,"")</f>
        <v/>
      </c>
      <c r="C33" s="12" t="str">
        <f>IF('Historique GW'!D33&gt;0,'Config Rewards'!$K$7/'Historique GW'!D33,"")</f>
        <v/>
      </c>
      <c r="D33" s="12" t="str">
        <f>IF('Historique GW'!E33&gt;0,'Config Rewards'!$K$8/'Historique GW'!E33,"")</f>
        <v/>
      </c>
      <c r="E33" s="12" t="str">
        <f>IF('Historique GW'!F33&gt;0,'Config Rewards'!$K$9/'Historique GW'!F33,"")</f>
        <v/>
      </c>
      <c r="F33" s="12" t="str">
        <f>IF('Historique GW'!G33&gt;0,'Config Rewards'!$K$10/'Historique GW'!G33,"")</f>
        <v/>
      </c>
      <c r="G33" s="12" t="str">
        <f>IF('Historique GW'!H33&gt;0,'Config Rewards'!$K$11/'Historique GW'!H33,"")</f>
        <v/>
      </c>
      <c r="H33" s="13" t="str">
        <f>IF(B33&lt;&gt;"",INDEX($B$5:$G$5,MATCH(MAX(B33:G33),B33:G33,0)),"")</f>
        <v/>
      </c>
      <c r="I33" s="21"/>
      <c r="J33" s="21"/>
      <c r="K33" s="21"/>
    </row>
    <row r="34" spans="1:11">
      <c r="A34" s="11">
        <f>'Historique GW'!A34</f>
        <v>0</v>
      </c>
      <c r="B34" s="12" t="str">
        <f>IF('Historique GW'!C34&gt;0,'Config Rewards'!$K$6/'Historique GW'!C34,"")</f>
        <v/>
      </c>
      <c r="C34" s="12" t="str">
        <f>IF('Historique GW'!D34&gt;0,'Config Rewards'!$K$7/'Historique GW'!D34,"")</f>
        <v/>
      </c>
      <c r="D34" s="12" t="str">
        <f>IF('Historique GW'!E34&gt;0,'Config Rewards'!$K$8/'Historique GW'!E34,"")</f>
        <v/>
      </c>
      <c r="E34" s="12" t="str">
        <f>IF('Historique GW'!F34&gt;0,'Config Rewards'!$K$9/'Historique GW'!F34,"")</f>
        <v/>
      </c>
      <c r="F34" s="12" t="str">
        <f>IF('Historique GW'!G34&gt;0,'Config Rewards'!$K$10/'Historique GW'!G34,"")</f>
        <v/>
      </c>
      <c r="G34" s="12" t="str">
        <f>IF('Historique GW'!H34&gt;0,'Config Rewards'!$K$11/'Historique GW'!H34,"")</f>
        <v/>
      </c>
      <c r="H34" s="13" t="str">
        <f>IF(B34&lt;&gt;"",INDEX($B$5:$G$5,MATCH(MAX(B34:G34),B34:G34,0)),"")</f>
        <v/>
      </c>
      <c r="I34" s="21"/>
      <c r="J34" s="21"/>
      <c r="K34" s="21"/>
    </row>
    <row r="35" spans="1:11">
      <c r="A35" s="11">
        <f>'Historique GW'!A35</f>
        <v>0</v>
      </c>
      <c r="B35" s="12" t="str">
        <f>IF('Historique GW'!C35&gt;0,'Config Rewards'!$K$6/'Historique GW'!C35,"")</f>
        <v/>
      </c>
      <c r="C35" s="12" t="str">
        <f>IF('Historique GW'!D35&gt;0,'Config Rewards'!$K$7/'Historique GW'!D35,"")</f>
        <v/>
      </c>
      <c r="D35" s="12" t="str">
        <f>IF('Historique GW'!E35&gt;0,'Config Rewards'!$K$8/'Historique GW'!E35,"")</f>
        <v/>
      </c>
      <c r="E35" s="12" t="str">
        <f>IF('Historique GW'!F35&gt;0,'Config Rewards'!$K$9/'Historique GW'!F35,"")</f>
        <v/>
      </c>
      <c r="F35" s="12" t="str">
        <f>IF('Historique GW'!G35&gt;0,'Config Rewards'!$K$10/'Historique GW'!G35,"")</f>
        <v/>
      </c>
      <c r="G35" s="12" t="str">
        <f>IF('Historique GW'!H35&gt;0,'Config Rewards'!$K$11/'Historique GW'!H35,"")</f>
        <v/>
      </c>
      <c r="H35" s="13" t="str">
        <f>IF(B35&lt;&gt;"",INDEX($B$5:$G$5,MATCH(MAX(B35:G35),B35:G35,0)),"")</f>
        <v/>
      </c>
      <c r="I35" s="21"/>
      <c r="J35" s="21"/>
      <c r="K35" s="21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/>
  </sheetViews>
  <sheetFormatPr defaultColWidth="8.7109375" defaultRowHeight="14.45"/>
  <cols>
    <col min="1" max="1" width="18" customWidth="1"/>
    <col min="2" max="14" width="14" customWidth="1"/>
  </cols>
  <sheetData>
    <row r="1" spans="1:13" ht="18.600000000000001">
      <c r="A1" s="25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3" spans="1:13">
      <c r="A3" s="1" t="s">
        <v>31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5" spans="1:13">
      <c r="A5" s="2" t="s">
        <v>2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  <c r="M5" s="21"/>
    </row>
    <row r="6" spans="1:13">
      <c r="A6" s="3" t="s">
        <v>7</v>
      </c>
      <c r="B6" s="4">
        <v>4000</v>
      </c>
      <c r="C6" s="4">
        <v>2000</v>
      </c>
      <c r="D6" s="4">
        <v>1000</v>
      </c>
      <c r="E6" s="4">
        <v>600</v>
      </c>
      <c r="F6" s="4">
        <v>500</v>
      </c>
      <c r="G6" s="4">
        <v>400</v>
      </c>
      <c r="H6" s="4">
        <v>300</v>
      </c>
      <c r="I6" s="4">
        <v>150</v>
      </c>
      <c r="J6" s="4">
        <v>0</v>
      </c>
      <c r="K6" s="5">
        <f t="shared" ref="K6:K13" si="0">B6+C6+D6+E6+F6+G6*5+H6*5+I6*5+IF(J6&gt;0,J6*5,0)</f>
        <v>12350</v>
      </c>
      <c r="L6" s="6">
        <f t="shared" ref="L6:L13" si="1">5+5+5+IF(J6&gt;0,5,0)</f>
        <v>15</v>
      </c>
      <c r="M6" s="21"/>
    </row>
    <row r="7" spans="1:13">
      <c r="A7" s="3" t="s">
        <v>8</v>
      </c>
      <c r="B7" s="4">
        <v>5000</v>
      </c>
      <c r="C7" s="4">
        <v>2500</v>
      </c>
      <c r="D7" s="4">
        <v>1200</v>
      </c>
      <c r="E7" s="4">
        <v>800</v>
      </c>
      <c r="F7" s="4">
        <v>600</v>
      </c>
      <c r="G7" s="4">
        <v>500</v>
      </c>
      <c r="H7" s="4">
        <v>400</v>
      </c>
      <c r="I7" s="4">
        <v>200</v>
      </c>
      <c r="J7" s="4">
        <v>100</v>
      </c>
      <c r="K7" s="5">
        <f t="shared" si="0"/>
        <v>16100</v>
      </c>
      <c r="L7" s="6">
        <f t="shared" si="1"/>
        <v>20</v>
      </c>
      <c r="M7" s="21"/>
    </row>
    <row r="8" spans="1:13">
      <c r="A8" s="3" t="s">
        <v>9</v>
      </c>
      <c r="B8" s="4">
        <v>4000</v>
      </c>
      <c r="C8" s="4">
        <v>2000</v>
      </c>
      <c r="D8" s="4">
        <v>1000</v>
      </c>
      <c r="E8" s="4">
        <v>600</v>
      </c>
      <c r="F8" s="4">
        <v>500</v>
      </c>
      <c r="G8" s="4">
        <v>400</v>
      </c>
      <c r="H8" s="4">
        <v>300</v>
      </c>
      <c r="I8" s="4">
        <v>150</v>
      </c>
      <c r="J8" s="4">
        <v>75</v>
      </c>
      <c r="K8" s="5">
        <f t="shared" si="0"/>
        <v>12725</v>
      </c>
      <c r="L8" s="6">
        <f t="shared" si="1"/>
        <v>20</v>
      </c>
      <c r="M8" s="21"/>
    </row>
    <row r="9" spans="1:13">
      <c r="A9" s="3" t="s">
        <v>10</v>
      </c>
      <c r="B9" s="4">
        <v>4000</v>
      </c>
      <c r="C9" s="4">
        <v>2000</v>
      </c>
      <c r="D9" s="4">
        <v>1000</v>
      </c>
      <c r="E9" s="4">
        <v>600</v>
      </c>
      <c r="F9" s="4">
        <v>500</v>
      </c>
      <c r="G9" s="4">
        <v>400</v>
      </c>
      <c r="H9" s="4">
        <v>300</v>
      </c>
      <c r="I9" s="4">
        <v>150</v>
      </c>
      <c r="J9" s="4">
        <v>0</v>
      </c>
      <c r="K9" s="5">
        <f t="shared" si="0"/>
        <v>12350</v>
      </c>
      <c r="L9" s="6">
        <f t="shared" si="1"/>
        <v>15</v>
      </c>
      <c r="M9" s="21"/>
    </row>
    <row r="10" spans="1:13">
      <c r="A10" s="3" t="s">
        <v>11</v>
      </c>
      <c r="B10" s="4">
        <v>2500</v>
      </c>
      <c r="C10" s="4">
        <v>1200</v>
      </c>
      <c r="D10" s="4">
        <v>600</v>
      </c>
      <c r="E10" s="4">
        <v>400</v>
      </c>
      <c r="F10" s="4">
        <v>300</v>
      </c>
      <c r="G10" s="4">
        <v>150</v>
      </c>
      <c r="H10" s="4">
        <v>100</v>
      </c>
      <c r="I10" s="4">
        <v>70</v>
      </c>
      <c r="J10" s="4">
        <v>0</v>
      </c>
      <c r="K10" s="5">
        <f t="shared" si="0"/>
        <v>6600</v>
      </c>
      <c r="L10" s="6">
        <f t="shared" si="1"/>
        <v>15</v>
      </c>
      <c r="M10" s="21"/>
    </row>
    <row r="11" spans="1:13">
      <c r="A11" s="3" t="s">
        <v>12</v>
      </c>
      <c r="B11" s="4">
        <v>2000</v>
      </c>
      <c r="C11" s="4">
        <v>1000</v>
      </c>
      <c r="D11" s="4">
        <v>500</v>
      </c>
      <c r="E11" s="4">
        <v>300</v>
      </c>
      <c r="F11" s="4">
        <v>200</v>
      </c>
      <c r="G11" s="4">
        <v>120</v>
      </c>
      <c r="H11" s="4">
        <v>70</v>
      </c>
      <c r="I11" s="4">
        <v>50</v>
      </c>
      <c r="J11" s="4">
        <v>0</v>
      </c>
      <c r="K11" s="5">
        <f t="shared" si="0"/>
        <v>5200</v>
      </c>
      <c r="L11" s="6">
        <f t="shared" si="1"/>
        <v>15</v>
      </c>
      <c r="M11" s="21"/>
    </row>
    <row r="12" spans="1:13">
      <c r="A12" s="3" t="s">
        <v>13</v>
      </c>
      <c r="B12" s="4">
        <v>1875</v>
      </c>
      <c r="C12" s="4">
        <v>900</v>
      </c>
      <c r="D12" s="4">
        <v>450</v>
      </c>
      <c r="E12" s="4">
        <v>300</v>
      </c>
      <c r="F12" s="4">
        <v>225</v>
      </c>
      <c r="G12" s="4">
        <v>100</v>
      </c>
      <c r="H12" s="4">
        <v>75</v>
      </c>
      <c r="I12" s="4">
        <v>50</v>
      </c>
      <c r="J12" s="4">
        <v>0</v>
      </c>
      <c r="K12" s="5">
        <f t="shared" si="0"/>
        <v>4875</v>
      </c>
      <c r="L12" s="6">
        <f t="shared" si="1"/>
        <v>15</v>
      </c>
      <c r="M12" s="21"/>
    </row>
    <row r="13" spans="1:13">
      <c r="A13" s="3" t="s">
        <v>14</v>
      </c>
      <c r="B13" s="4">
        <v>1500</v>
      </c>
      <c r="C13" s="4">
        <v>750</v>
      </c>
      <c r="D13" s="4">
        <v>375</v>
      </c>
      <c r="E13" s="4">
        <v>225</v>
      </c>
      <c r="F13" s="4">
        <v>150</v>
      </c>
      <c r="G13" s="4">
        <v>90</v>
      </c>
      <c r="H13" s="4">
        <v>50</v>
      </c>
      <c r="I13" s="4">
        <v>35</v>
      </c>
      <c r="J13" s="4">
        <v>25</v>
      </c>
      <c r="K13" s="5">
        <f t="shared" si="0"/>
        <v>4000</v>
      </c>
      <c r="L13" s="6">
        <f t="shared" si="1"/>
        <v>20</v>
      </c>
      <c r="M13" s="21"/>
    </row>
    <row r="16" spans="1:13">
      <c r="A16" s="7" t="s">
        <v>43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selection sqref="A1:G1"/>
    </sheetView>
  </sheetViews>
  <sheetFormatPr defaultColWidth="8.7109375" defaultRowHeight="14.45"/>
  <cols>
    <col min="1" max="1" width="18" customWidth="1"/>
    <col min="2" max="14" width="14" customWidth="1"/>
  </cols>
  <sheetData>
    <row r="1" spans="1:7" ht="18.600000000000001">
      <c r="A1" s="25" t="s">
        <v>44</v>
      </c>
      <c r="B1" s="24"/>
      <c r="C1" s="24"/>
      <c r="D1" s="24"/>
      <c r="E1" s="24"/>
      <c r="F1" s="24"/>
      <c r="G1" s="24"/>
    </row>
    <row r="3" spans="1:7">
      <c r="A3" s="1" t="s">
        <v>45</v>
      </c>
      <c r="B3" s="21"/>
      <c r="C3" s="21"/>
      <c r="D3" s="21"/>
      <c r="E3" s="21"/>
      <c r="F3" s="21"/>
      <c r="G3" s="21"/>
    </row>
    <row r="5" spans="1:7">
      <c r="A5" s="15" t="s">
        <v>2</v>
      </c>
      <c r="B5" s="15" t="s">
        <v>46</v>
      </c>
      <c r="C5" s="15" t="s">
        <v>47</v>
      </c>
      <c r="D5" s="15" t="s">
        <v>48</v>
      </c>
      <c r="E5" s="15" t="s">
        <v>49</v>
      </c>
      <c r="F5" s="21"/>
      <c r="G5" s="21"/>
    </row>
    <row r="6" spans="1:7">
      <c r="A6" s="3" t="s">
        <v>7</v>
      </c>
      <c r="B6" s="12">
        <f>Dashboard!D6</f>
        <v>49.203187250996017</v>
      </c>
      <c r="C6" s="19">
        <v>1.3</v>
      </c>
      <c r="D6" s="12">
        <f t="shared" ref="D6:D13" si="0">B6*C6</f>
        <v>63.964143426294825</v>
      </c>
      <c r="E6" s="11" t="e">
        <f t="shared" ref="E6:E13" si="1">RANK(D6,$D$6:$D$13,0)</f>
        <v>#REF!</v>
      </c>
      <c r="F6" s="21"/>
      <c r="G6" s="21"/>
    </row>
    <row r="7" spans="1:7">
      <c r="A7" s="3" t="s">
        <v>8</v>
      </c>
      <c r="B7" s="12">
        <f>Dashboard!D7</f>
        <v>49.386503067484661</v>
      </c>
      <c r="C7" s="19">
        <v>1</v>
      </c>
      <c r="D7" s="12">
        <f t="shared" si="0"/>
        <v>49.386503067484661</v>
      </c>
      <c r="E7" s="11" t="e">
        <f t="shared" si="1"/>
        <v>#REF!</v>
      </c>
      <c r="F7" s="21"/>
      <c r="G7" s="21"/>
    </row>
    <row r="8" spans="1:7">
      <c r="A8" s="3" t="s">
        <v>9</v>
      </c>
      <c r="B8" s="12">
        <f>Dashboard!D8</f>
        <v>42.845117845117848</v>
      </c>
      <c r="C8" s="19">
        <v>1</v>
      </c>
      <c r="D8" s="12">
        <f t="shared" si="0"/>
        <v>42.845117845117848</v>
      </c>
      <c r="E8" s="11" t="e">
        <f t="shared" si="1"/>
        <v>#REF!</v>
      </c>
      <c r="F8" s="21"/>
      <c r="G8" s="21"/>
    </row>
    <row r="9" spans="1:7">
      <c r="A9" s="3" t="s">
        <v>10</v>
      </c>
      <c r="B9" s="12">
        <f>Dashboard!D9</f>
        <v>45.238095238095241</v>
      </c>
      <c r="C9" s="19">
        <v>1</v>
      </c>
      <c r="D9" s="12">
        <f t="shared" si="0"/>
        <v>45.238095238095241</v>
      </c>
      <c r="E9" s="11" t="e">
        <f t="shared" si="1"/>
        <v>#REF!</v>
      </c>
      <c r="F9" s="21"/>
      <c r="G9" s="21"/>
    </row>
    <row r="10" spans="1:7">
      <c r="A10" s="3" t="s">
        <v>11</v>
      </c>
      <c r="B10" s="12">
        <f>Dashboard!D10</f>
        <v>34.375</v>
      </c>
      <c r="C10" s="19">
        <v>1.1000000000000001</v>
      </c>
      <c r="D10" s="12">
        <f t="shared" si="0"/>
        <v>37.8125</v>
      </c>
      <c r="E10" s="11" t="e">
        <f t="shared" si="1"/>
        <v>#REF!</v>
      </c>
      <c r="F10" s="21"/>
      <c r="G10" s="21"/>
    </row>
    <row r="11" spans="1:7">
      <c r="A11" s="3" t="s">
        <v>12</v>
      </c>
      <c r="B11" s="12">
        <f>Dashboard!D11</f>
        <v>27.659574468085108</v>
      </c>
      <c r="C11" s="19">
        <v>1.1000000000000001</v>
      </c>
      <c r="D11" s="12">
        <f t="shared" si="0"/>
        <v>30.425531914893622</v>
      </c>
      <c r="E11" s="11" t="e">
        <f t="shared" si="1"/>
        <v>#REF!</v>
      </c>
      <c r="F11" s="21"/>
      <c r="G11" s="21"/>
    </row>
    <row r="12" spans="1:7">
      <c r="A12" s="3" t="s">
        <v>13</v>
      </c>
      <c r="B12" s="12" t="e">
        <f>Dashboard!D12</f>
        <v>#REF!</v>
      </c>
      <c r="C12" s="19">
        <v>1</v>
      </c>
      <c r="D12" s="12" t="e">
        <f t="shared" si="0"/>
        <v>#REF!</v>
      </c>
      <c r="E12" s="11" t="e">
        <f t="shared" si="1"/>
        <v>#REF!</v>
      </c>
      <c r="F12" s="21"/>
      <c r="G12" s="21"/>
    </row>
    <row r="13" spans="1:7">
      <c r="A13" s="3" t="s">
        <v>14</v>
      </c>
      <c r="B13" s="12" t="e">
        <f>Dashboard!D13</f>
        <v>#REF!</v>
      </c>
      <c r="C13" s="19">
        <v>1</v>
      </c>
      <c r="D13" s="12" t="e">
        <f t="shared" si="0"/>
        <v>#REF!</v>
      </c>
      <c r="E13" s="11" t="e">
        <f t="shared" si="1"/>
        <v>#REF!</v>
      </c>
      <c r="F13" s="21"/>
      <c r="G13" s="21"/>
    </row>
    <row r="16" spans="1:7">
      <c r="A16" s="20" t="s">
        <v>50</v>
      </c>
      <c r="B16" s="21"/>
      <c r="C16" s="21"/>
      <c r="D16" s="21"/>
      <c r="E16" s="21"/>
      <c r="F16" s="21"/>
      <c r="G16" s="21"/>
    </row>
    <row r="17" spans="1:1">
      <c r="A17" s="21" t="s">
        <v>51</v>
      </c>
    </row>
    <row r="18" spans="1:1">
      <c r="A18" s="21" t="s">
        <v>52</v>
      </c>
    </row>
    <row r="19" spans="1:1">
      <c r="A19" s="21" t="s">
        <v>53</v>
      </c>
    </row>
    <row r="20" spans="1:1">
      <c r="A20" s="21" t="s">
        <v>54</v>
      </c>
    </row>
    <row r="21" spans="1:1">
      <c r="A21" s="21" t="s">
        <v>55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2026-01-26T00:10:32Z</dcterms:created>
  <dcterms:modified xsi:type="dcterms:W3CDTF">2026-03-04T12:24:41Z</dcterms:modified>
  <cp:category/>
  <cp:contentStatus/>
</cp:coreProperties>
</file>